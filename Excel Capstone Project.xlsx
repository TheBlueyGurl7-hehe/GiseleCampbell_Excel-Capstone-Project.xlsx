
<file path=[Content_Types].xml><?xml version="1.0" encoding="utf-8"?>
<Types xmlns="http://schemas.openxmlformats.org/package/2006/content-types">
  <Default Extension="bin" ContentType="application/vnd.openxmlformats-officedocument.spreadsheetml.printerSettings"/>
  <Override PartName="/xl/pivotTables/pivotTable5.xml" ContentType="application/vnd.openxmlformats-officedocument.spreadsheetml.pivotTable+xml"/>
  <Override PartName="/xl/pivotTables/pivotTable6.xml" ContentType="application/vnd.openxmlformats-officedocument.spreadsheetml.pivot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metadata.xml" ContentType="application/vnd.openxmlformats-officedocument.spreadsheetml.sheetMetadata+xml"/>
  <Override PartName="/xl/pivotTables/pivotTable7.xml" ContentType="application/vnd.openxmlformats-officedocument.spreadsheetml.pivot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hidePivotFieldList="1" defaultThemeVersion="124226"/>
  <bookViews>
    <workbookView xWindow="-105" yWindow="-105" windowWidth="20730" windowHeight="11760"/>
  </bookViews>
  <sheets>
    <sheet name="Dashboard" sheetId="8" r:id="rId1"/>
    <sheet name="Sales_All" sheetId="1" r:id="rId2"/>
    <sheet name="Products" sheetId="4" r:id="rId3"/>
    <sheet name="Customers" sheetId="7" r:id="rId4"/>
    <sheet name="Finance" sheetId="6" r:id="rId5"/>
    <sheet name="Operations" sheetId="5" r:id="rId6"/>
    <sheet name="PivotTables" sheetId="9" r:id="rId7"/>
  </sheets>
  <definedNames>
    <definedName name="_xlchart.v1.0" hidden="1">Sales_All!$E$2:$E$91</definedName>
    <definedName name="_xlchart.v1.1" hidden="1">Sales_All!$R$1</definedName>
    <definedName name="_xlchart.v1.2" hidden="1">Sales_All!$R$2:$R$91</definedName>
    <definedName name="Accessories">Products!$A$5</definedName>
    <definedName name="_xlnm.Criteria" localSheetId="3">Customers!$Y$1:$Y$2</definedName>
    <definedName name="Electronics">Products!$A$2:$A$7</definedName>
    <definedName name="_xlnm.Extract" localSheetId="3">Customers!$I$1:$AF$1</definedName>
    <definedName name="NativeTimeline_Date">#N/A</definedName>
    <definedName name="Office">Products!$A$7</definedName>
    <definedName name="Product_Categories">OFFSET(Products!$B$2, 0, 0, COUNTA(Products!$B:$B)-1, 1)</definedName>
    <definedName name="Slicer_Category">#N/A</definedName>
    <definedName name="Slicer_Customer_Classification">#N/A</definedName>
    <definedName name="Slicer_Date">#N/A</definedName>
    <definedName name="Slicer_Region">#N/A</definedName>
  </definedNames>
  <calcPr calcId="191029"/>
  <pivotCaches>
    <pivotCache cacheId="0" r:id="rId8"/>
  </pivotCaches>
  <extLst xmlns:x15="http://schemas.microsoft.com/office/spreadsheetml/2010/11/main">
    <ext xmlns:x14="http://schemas.microsoft.com/office/spreadsheetml/2009/9/main" uri="{BBE1A952-AA13-448e-AADC-164F8A28A991}">
      <x14:slicerCaches>
        <x14:slicerCache r:id=""/>
        <x14:slicerCache r:id=""/>
        <x14:slicerCache r:id=""/>
        <x14:slicerCache r:id=""/>
      </x14:slicerCaches>
    </ext>
    <ext xmlns:x14="http://schemas.microsoft.com/office/spreadsheetml/2009/9/main" uri="{79F54976-1DA5-4618-B147-4CDE4B953A38}">
      <x14:workbookPr/>
    </ext>
    <ext uri="{D0CA8CA8-9F24-4464-BF8E-62219DCF47F9}">
      <x15:timelineCacheRefs>
        <x15:timelineCacheRef r:id=""/>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c r="W4"/>
  <c r="W3"/>
  <c r="W2"/>
  <c r="V5"/>
  <c r="V4"/>
  <c r="V3"/>
  <c r="V2"/>
  <c r="B8" i="8"/>
  <c r="B7"/>
  <c r="B6"/>
  <c r="X24" i="1" a="1"/>
  <c r="X24" s="1"/>
  <c r="X25" a="1"/>
  <c r="X25" s="1"/>
  <c r="X26" a="1"/>
  <c r="X26" s="1"/>
  <c r="X27" a="1"/>
  <c r="X27" s="1"/>
  <c r="X28" a="1"/>
  <c r="X28" s="1"/>
  <c r="X29" a="1"/>
  <c r="X29" s="1"/>
  <c r="X30" a="1"/>
  <c r="X30" s="1"/>
  <c r="X31" a="1"/>
  <c r="X31" s="1"/>
  <c r="X32" a="1"/>
  <c r="X32" s="1"/>
  <c r="X33" a="1"/>
  <c r="X33" s="1"/>
  <c r="X34" a="1"/>
  <c r="X34" s="1"/>
  <c r="X35" a="1"/>
  <c r="X35" s="1"/>
  <c r="X36" a="1"/>
  <c r="X36" s="1"/>
  <c r="X37" a="1"/>
  <c r="X37" s="1"/>
  <c r="X38" a="1"/>
  <c r="X38" s="1"/>
  <c r="X39" a="1"/>
  <c r="X39" s="1"/>
  <c r="X40" a="1"/>
  <c r="X40" s="1"/>
  <c r="X41" a="1"/>
  <c r="X41" s="1"/>
  <c r="X42" a="1"/>
  <c r="X42" s="1"/>
  <c r="X43" a="1"/>
  <c r="X43" s="1"/>
  <c r="X44" a="1"/>
  <c r="X44" s="1"/>
  <c r="X45" a="1"/>
  <c r="X45" s="1"/>
  <c r="X46" a="1"/>
  <c r="X46" s="1"/>
  <c r="X47" a="1"/>
  <c r="X47" s="1"/>
  <c r="X48" a="1"/>
  <c r="X48" s="1"/>
  <c r="X49" a="1"/>
  <c r="X49" s="1"/>
  <c r="X50" a="1"/>
  <c r="X50" s="1"/>
  <c r="X51" a="1"/>
  <c r="X51" s="1"/>
  <c r="X52" a="1"/>
  <c r="X52" s="1"/>
  <c r="X53" a="1"/>
  <c r="X53" s="1"/>
  <c r="X54" a="1"/>
  <c r="X54" s="1"/>
  <c r="X55" a="1"/>
  <c r="X55" s="1"/>
  <c r="X56" a="1"/>
  <c r="X56" s="1"/>
  <c r="X57" a="1"/>
  <c r="X57" s="1"/>
  <c r="X58" a="1"/>
  <c r="X58" s="1"/>
  <c r="X59" a="1"/>
  <c r="X59" s="1"/>
  <c r="X60" a="1"/>
  <c r="X60" s="1"/>
  <c r="X61" a="1"/>
  <c r="X61" s="1"/>
  <c r="X62" a="1"/>
  <c r="X62" s="1"/>
  <c r="X63" a="1"/>
  <c r="X63" s="1"/>
  <c r="X64" a="1"/>
  <c r="X64" s="1"/>
  <c r="X65" a="1"/>
  <c r="X65" s="1"/>
  <c r="X66" a="1"/>
  <c r="X66" s="1"/>
  <c r="X67" a="1"/>
  <c r="X67" s="1"/>
  <c r="X68" a="1"/>
  <c r="X68" s="1"/>
  <c r="X69" a="1"/>
  <c r="X69" s="1"/>
  <c r="X70" a="1"/>
  <c r="X70" s="1"/>
  <c r="X71" a="1"/>
  <c r="X71" s="1"/>
  <c r="X72" a="1"/>
  <c r="X72" s="1"/>
  <c r="X73" a="1"/>
  <c r="X73" s="1"/>
  <c r="X74" a="1"/>
  <c r="X74" s="1"/>
  <c r="X75" a="1"/>
  <c r="X75" s="1"/>
  <c r="X76" a="1"/>
  <c r="X76" s="1"/>
  <c r="X77" a="1"/>
  <c r="X77" s="1"/>
  <c r="X78" a="1"/>
  <c r="X78" s="1"/>
  <c r="X79" a="1"/>
  <c r="X79" s="1"/>
  <c r="X80" a="1"/>
  <c r="X80" s="1"/>
  <c r="X81" a="1"/>
  <c r="X81" s="1"/>
  <c r="X82" a="1"/>
  <c r="X82" s="1"/>
  <c r="X83" a="1"/>
  <c r="X83" s="1"/>
  <c r="X84" a="1"/>
  <c r="X84" s="1"/>
  <c r="X85" a="1"/>
  <c r="X85" s="1"/>
  <c r="X86" a="1"/>
  <c r="X86" s="1"/>
  <c r="X87" a="1"/>
  <c r="X87" s="1"/>
  <c r="X88" a="1"/>
  <c r="X88" s="1"/>
  <c r="X89" a="1"/>
  <c r="X89" s="1"/>
  <c r="X90" a="1"/>
  <c r="X90" s="1"/>
  <c r="X91" a="1"/>
  <c r="X91" s="1"/>
  <c r="X3" a="1"/>
  <c r="X3" s="1"/>
  <c r="X4" a="1"/>
  <c r="X4" s="1"/>
  <c r="X5" a="1"/>
  <c r="X5" s="1"/>
  <c r="X6" a="1"/>
  <c r="X6" s="1"/>
  <c r="X7" a="1"/>
  <c r="X7" s="1"/>
  <c r="X8" a="1"/>
  <c r="X8" s="1"/>
  <c r="X9" a="1"/>
  <c r="X9" s="1"/>
  <c r="X10" a="1"/>
  <c r="X10" s="1"/>
  <c r="X11" a="1"/>
  <c r="X11" s="1"/>
  <c r="X12" a="1"/>
  <c r="X12" s="1"/>
  <c r="X13" a="1"/>
  <c r="X13" s="1"/>
  <c r="X14" a="1"/>
  <c r="X14" s="1"/>
  <c r="X15" a="1"/>
  <c r="X15" s="1"/>
  <c r="X16" a="1"/>
  <c r="X16" s="1"/>
  <c r="X17" a="1"/>
  <c r="X17" s="1"/>
  <c r="X18" a="1"/>
  <c r="X18" s="1"/>
  <c r="X19" a="1"/>
  <c r="X19" s="1"/>
  <c r="X20" a="1"/>
  <c r="X20" s="1"/>
  <c r="X21" a="1"/>
  <c r="X21" s="1"/>
  <c r="X22" a="1"/>
  <c r="X22" s="1"/>
  <c r="X23" a="1"/>
  <c r="X23" s="1"/>
  <c r="X2" a="1"/>
  <c r="X2" s="1"/>
  <c r="S14" a="1"/>
  <c r="S14" s="1"/>
  <c r="S19" a="1"/>
  <c r="S19" s="1"/>
  <c r="S35" a="1"/>
  <c r="S35" s="1"/>
  <c r="S51" a="1"/>
  <c r="S51" s="1"/>
  <c r="S70" a="1"/>
  <c r="S70" s="1"/>
  <c r="S86" a="1"/>
  <c r="S86" s="1"/>
  <c r="R7"/>
  <c r="R10"/>
  <c r="R18"/>
  <c r="R25"/>
  <c r="R29"/>
  <c r="R33"/>
  <c r="R37"/>
  <c r="R39"/>
  <c r="R46"/>
  <c r="R54"/>
  <c r="R55"/>
  <c r="R57"/>
  <c r="R61"/>
  <c r="R65"/>
  <c r="R69"/>
  <c r="R71"/>
  <c r="R74"/>
  <c r="R82"/>
  <c r="R89"/>
  <c r="Q9"/>
  <c r="S9" s="1" a="1"/>
  <c r="S9" s="1"/>
  <c r="Q17"/>
  <c r="S17" s="1" a="1"/>
  <c r="S17" s="1"/>
  <c r="Q25"/>
  <c r="S25" s="1" a="1"/>
  <c r="S25" s="1"/>
  <c r="Q33"/>
  <c r="S33" s="1" a="1"/>
  <c r="S33" s="1"/>
  <c r="Q41"/>
  <c r="S41" s="1" a="1"/>
  <c r="S41" s="1"/>
  <c r="Q49"/>
  <c r="S49" s="1" a="1"/>
  <c r="S49" s="1"/>
  <c r="Q57"/>
  <c r="S57" s="1" a="1"/>
  <c r="S57" s="1"/>
  <c r="Q65"/>
  <c r="S65" s="1" a="1"/>
  <c r="S65" s="1"/>
  <c r="Q73"/>
  <c r="S73" s="1" a="1"/>
  <c r="S73" s="1"/>
  <c r="Q81"/>
  <c r="S81" s="1" a="1"/>
  <c r="S81" s="1"/>
  <c r="Q89"/>
  <c r="S89" s="1" a="1"/>
  <c r="S89" s="1"/>
  <c r="P3"/>
  <c r="P4"/>
  <c r="R4" s="1"/>
  <c r="P5"/>
  <c r="P6"/>
  <c r="R6" s="1"/>
  <c r="P7"/>
  <c r="Q7" s="1"/>
  <c r="S7" s="1" a="1"/>
  <c r="S7" s="1"/>
  <c r="P8"/>
  <c r="P9"/>
  <c r="R9" s="1"/>
  <c r="P10"/>
  <c r="Q10" s="1"/>
  <c r="S10" s="1" a="1"/>
  <c r="S10" s="1"/>
  <c r="P11"/>
  <c r="Q11" s="1"/>
  <c r="S11" s="1" a="1"/>
  <c r="S11" s="1"/>
  <c r="P12"/>
  <c r="R12" s="1"/>
  <c r="P13"/>
  <c r="R13" s="1"/>
  <c r="P14"/>
  <c r="Q14" s="1"/>
  <c r="P15"/>
  <c r="Q15" s="1"/>
  <c r="S15" s="1" a="1"/>
  <c r="S15" s="1"/>
  <c r="P16"/>
  <c r="P17"/>
  <c r="R17" s="1"/>
  <c r="P18"/>
  <c r="Q18" s="1"/>
  <c r="S18" s="1" a="1"/>
  <c r="S18" s="1"/>
  <c r="P19"/>
  <c r="Q19" s="1"/>
  <c r="P20"/>
  <c r="R20" s="1"/>
  <c r="P21"/>
  <c r="R21" s="1"/>
  <c r="P22"/>
  <c r="Q22" s="1"/>
  <c r="S22" s="1" a="1"/>
  <c r="S22" s="1"/>
  <c r="P23"/>
  <c r="Q23" s="1"/>
  <c r="S23" s="1" a="1"/>
  <c r="S23" s="1"/>
  <c r="P24"/>
  <c r="P25"/>
  <c r="P26"/>
  <c r="Q26" s="1"/>
  <c r="S26" s="1" a="1"/>
  <c r="S26" s="1"/>
  <c r="P27"/>
  <c r="Q27" s="1"/>
  <c r="S27" s="1" a="1"/>
  <c r="S27" s="1"/>
  <c r="P28"/>
  <c r="R28" s="1"/>
  <c r="P29"/>
  <c r="Q29" s="1"/>
  <c r="S29" s="1" a="1"/>
  <c r="S29" s="1"/>
  <c r="P30"/>
  <c r="Q30" s="1"/>
  <c r="S30" s="1" a="1"/>
  <c r="S30" s="1"/>
  <c r="P31"/>
  <c r="Q31" s="1"/>
  <c r="S31" s="1" a="1"/>
  <c r="S31" s="1"/>
  <c r="P32"/>
  <c r="P33"/>
  <c r="P34"/>
  <c r="Q34" s="1"/>
  <c r="S34" s="1" a="1"/>
  <c r="S34" s="1"/>
  <c r="P35"/>
  <c r="Q35" s="1"/>
  <c r="P36"/>
  <c r="R36" s="1"/>
  <c r="P37"/>
  <c r="Q37" s="1"/>
  <c r="S37" s="1" a="1"/>
  <c r="S37" s="1"/>
  <c r="P38"/>
  <c r="Q38" s="1"/>
  <c r="S38" s="1" a="1"/>
  <c r="S38" s="1"/>
  <c r="P39"/>
  <c r="Q39" s="1"/>
  <c r="S39" s="1" a="1"/>
  <c r="S39" s="1"/>
  <c r="P40"/>
  <c r="P41"/>
  <c r="R41" s="1"/>
  <c r="P42"/>
  <c r="Q42" s="1"/>
  <c r="S42" s="1" a="1"/>
  <c r="S42" s="1"/>
  <c r="P43"/>
  <c r="Q43" s="1"/>
  <c r="S43" s="1" a="1"/>
  <c r="S43" s="1"/>
  <c r="P44"/>
  <c r="R44" s="1"/>
  <c r="P45"/>
  <c r="R45" s="1"/>
  <c r="P46"/>
  <c r="Q46" s="1"/>
  <c r="S46" s="1" a="1"/>
  <c r="S46" s="1"/>
  <c r="P47"/>
  <c r="Q47" s="1"/>
  <c r="S47" s="1" a="1"/>
  <c r="S47" s="1"/>
  <c r="P48"/>
  <c r="P49"/>
  <c r="R49" s="1"/>
  <c r="P50"/>
  <c r="Q50" s="1"/>
  <c r="S50" s="1" a="1"/>
  <c r="S50" s="1"/>
  <c r="P51"/>
  <c r="Q51" s="1"/>
  <c r="P52"/>
  <c r="R52" s="1"/>
  <c r="P53"/>
  <c r="Q53" s="1"/>
  <c r="S53" s="1" a="1"/>
  <c r="S53" s="1"/>
  <c r="P54"/>
  <c r="Q54" s="1"/>
  <c r="S54" s="1" a="1"/>
  <c r="S54" s="1"/>
  <c r="P55"/>
  <c r="Q55" s="1"/>
  <c r="S55" s="1" a="1"/>
  <c r="S55" s="1"/>
  <c r="P56"/>
  <c r="P57"/>
  <c r="P58"/>
  <c r="Q58" s="1"/>
  <c r="S58" s="1" a="1"/>
  <c r="S58" s="1"/>
  <c r="P59"/>
  <c r="Q59" s="1"/>
  <c r="S59" s="1" a="1"/>
  <c r="S59" s="1"/>
  <c r="P60"/>
  <c r="R60" s="1"/>
  <c r="P61"/>
  <c r="Q61" s="1"/>
  <c r="S61" s="1" a="1"/>
  <c r="S61" s="1"/>
  <c r="P62"/>
  <c r="Q62" s="1"/>
  <c r="S62" s="1" a="1"/>
  <c r="S62" s="1"/>
  <c r="P63"/>
  <c r="Q63" s="1"/>
  <c r="S63" s="1" a="1"/>
  <c r="S63" s="1"/>
  <c r="P64"/>
  <c r="P65"/>
  <c r="P66"/>
  <c r="Q66" s="1"/>
  <c r="S66" s="1" a="1"/>
  <c r="S66" s="1"/>
  <c r="P67"/>
  <c r="Q67" s="1"/>
  <c r="S67" s="1" a="1"/>
  <c r="S67" s="1"/>
  <c r="P68"/>
  <c r="R68" s="1"/>
  <c r="P69"/>
  <c r="Q69" s="1"/>
  <c r="S69" s="1" a="1"/>
  <c r="S69" s="1"/>
  <c r="P70"/>
  <c r="Q70" s="1"/>
  <c r="P71"/>
  <c r="Q71" s="1"/>
  <c r="S71" s="1" a="1"/>
  <c r="S71" s="1"/>
  <c r="P72"/>
  <c r="P73"/>
  <c r="R73" s="1"/>
  <c r="P74"/>
  <c r="Q74" s="1"/>
  <c r="S74" s="1" a="1"/>
  <c r="S74" s="1"/>
  <c r="P75"/>
  <c r="Q75" s="1"/>
  <c r="S75" s="1" a="1"/>
  <c r="S75" s="1"/>
  <c r="P76"/>
  <c r="R76" s="1"/>
  <c r="P77"/>
  <c r="R77" s="1"/>
  <c r="P78"/>
  <c r="Q78" s="1"/>
  <c r="S78" s="1" a="1"/>
  <c r="S78" s="1"/>
  <c r="P79"/>
  <c r="Q79" s="1"/>
  <c r="S79" s="1" a="1"/>
  <c r="S79" s="1"/>
  <c r="P80"/>
  <c r="P81"/>
  <c r="R81" s="1"/>
  <c r="P82"/>
  <c r="Q82" s="1"/>
  <c r="S82" s="1" a="1"/>
  <c r="S82" s="1"/>
  <c r="P83"/>
  <c r="Q83" s="1"/>
  <c r="S83" s="1" a="1"/>
  <c r="S83" s="1"/>
  <c r="P84"/>
  <c r="R84" s="1"/>
  <c r="P85"/>
  <c r="R85" s="1"/>
  <c r="P86"/>
  <c r="Q86" s="1"/>
  <c r="P87"/>
  <c r="Q87" s="1"/>
  <c r="S87" s="1" a="1"/>
  <c r="S87" s="1"/>
  <c r="P88"/>
  <c r="P89"/>
  <c r="P90"/>
  <c r="Q90" s="1"/>
  <c r="S90" s="1" a="1"/>
  <c r="S90" s="1"/>
  <c r="P91"/>
  <c r="Q91" s="1"/>
  <c r="S91" s="1" a="1"/>
  <c r="S91" s="1"/>
  <c r="P2"/>
  <c r="B4" i="8"/>
  <c r="B3"/>
  <c r="B2"/>
  <c r="N3" i="1"/>
  <c r="N4"/>
  <c r="N5"/>
  <c r="N6"/>
  <c r="N7"/>
  <c r="N8"/>
  <c r="N9"/>
  <c r="N10"/>
  <c r="N11"/>
  <c r="N12"/>
  <c r="N13"/>
  <c r="N14"/>
  <c r="N15"/>
  <c r="N16"/>
  <c r="N17"/>
  <c r="N18"/>
  <c r="N19"/>
  <c r="N20"/>
  <c r="N21"/>
  <c r="N22"/>
  <c r="N23"/>
  <c r="N24"/>
  <c r="N25"/>
  <c r="N26"/>
  <c r="N27"/>
  <c r="N28"/>
  <c r="N29"/>
  <c r="N30"/>
  <c r="N31"/>
  <c r="N32"/>
  <c r="N33"/>
  <c r="N34"/>
  <c r="N35"/>
  <c r="N36"/>
  <c r="N37"/>
  <c r="N38"/>
  <c r="N39"/>
  <c r="N40"/>
  <c r="N41"/>
  <c r="N42"/>
  <c r="N43"/>
  <c r="N44"/>
  <c r="N45"/>
  <c r="N46"/>
  <c r="N47"/>
  <c r="N48"/>
  <c r="N49"/>
  <c r="N50"/>
  <c r="N51"/>
  <c r="N52"/>
  <c r="N53"/>
  <c r="N54"/>
  <c r="N55"/>
  <c r="N56"/>
  <c r="N57"/>
  <c r="N58"/>
  <c r="N59"/>
  <c r="N60"/>
  <c r="N61"/>
  <c r="N62"/>
  <c r="N63"/>
  <c r="N64"/>
  <c r="N65"/>
  <c r="N66"/>
  <c r="N67"/>
  <c r="N68"/>
  <c r="N69"/>
  <c r="N70"/>
  <c r="N71"/>
  <c r="N72"/>
  <c r="N73"/>
  <c r="N74"/>
  <c r="N75"/>
  <c r="N76"/>
  <c r="N77"/>
  <c r="N78"/>
  <c r="N79"/>
  <c r="N80"/>
  <c r="N81"/>
  <c r="N82"/>
  <c r="N83"/>
  <c r="N84"/>
  <c r="N85"/>
  <c r="N86"/>
  <c r="N87"/>
  <c r="N88"/>
  <c r="N89"/>
  <c r="N90"/>
  <c r="N91"/>
  <c r="N2"/>
  <c r="M91"/>
  <c r="M3"/>
  <c r="M4"/>
  <c r="M5"/>
  <c r="O5" s="1"/>
  <c r="M6"/>
  <c r="M7"/>
  <c r="M8"/>
  <c r="M9"/>
  <c r="O9" s="1"/>
  <c r="M10"/>
  <c r="M11"/>
  <c r="M12"/>
  <c r="M13"/>
  <c r="O13" s="1"/>
  <c r="M14"/>
  <c r="M15"/>
  <c r="M16"/>
  <c r="M17"/>
  <c r="O17" s="1"/>
  <c r="M18"/>
  <c r="M19"/>
  <c r="M20"/>
  <c r="M21"/>
  <c r="O21" s="1"/>
  <c r="M22"/>
  <c r="M23"/>
  <c r="M24"/>
  <c r="M25"/>
  <c r="O25" s="1"/>
  <c r="M26"/>
  <c r="M27"/>
  <c r="M28"/>
  <c r="M29"/>
  <c r="O29" s="1"/>
  <c r="M30"/>
  <c r="M31"/>
  <c r="M32"/>
  <c r="M33"/>
  <c r="O33" s="1"/>
  <c r="M34"/>
  <c r="M35"/>
  <c r="M36"/>
  <c r="M37"/>
  <c r="O37" s="1"/>
  <c r="M38"/>
  <c r="M39"/>
  <c r="M40"/>
  <c r="M41"/>
  <c r="O41" s="1"/>
  <c r="M42"/>
  <c r="M43"/>
  <c r="M44"/>
  <c r="M45"/>
  <c r="O45" s="1"/>
  <c r="M46"/>
  <c r="M47"/>
  <c r="M48"/>
  <c r="M49"/>
  <c r="O49" s="1"/>
  <c r="M50"/>
  <c r="M51"/>
  <c r="M52"/>
  <c r="M53"/>
  <c r="O53" s="1"/>
  <c r="M54"/>
  <c r="M55"/>
  <c r="M56"/>
  <c r="M57"/>
  <c r="O57" s="1"/>
  <c r="M58"/>
  <c r="M59"/>
  <c r="M60"/>
  <c r="O60" s="1"/>
  <c r="M61"/>
  <c r="O61" s="1"/>
  <c r="M62"/>
  <c r="M63"/>
  <c r="M64"/>
  <c r="M65"/>
  <c r="O65" s="1"/>
  <c r="M66"/>
  <c r="M67"/>
  <c r="M68"/>
  <c r="M69"/>
  <c r="O69" s="1"/>
  <c r="M70"/>
  <c r="M71"/>
  <c r="M72"/>
  <c r="M73"/>
  <c r="O73" s="1"/>
  <c r="M74"/>
  <c r="M75"/>
  <c r="M76"/>
  <c r="O76" s="1"/>
  <c r="M77"/>
  <c r="O77" s="1"/>
  <c r="M78"/>
  <c r="M79"/>
  <c r="M80"/>
  <c r="O80" s="1"/>
  <c r="M81"/>
  <c r="O81" s="1"/>
  <c r="M82"/>
  <c r="M83"/>
  <c r="M84"/>
  <c r="M85"/>
  <c r="O85" s="1"/>
  <c r="M86"/>
  <c r="M87"/>
  <c r="M88"/>
  <c r="M89"/>
  <c r="O89" s="1"/>
  <c r="M90"/>
  <c r="M2"/>
  <c r="G5" i="6"/>
  <c r="G6"/>
  <c r="G7"/>
  <c r="G8"/>
  <c r="G9"/>
  <c r="G10"/>
  <c r="F3"/>
  <c r="F4"/>
  <c r="F5"/>
  <c r="F6"/>
  <c r="F7"/>
  <c r="F8"/>
  <c r="F9"/>
  <c r="F10"/>
  <c r="F2"/>
  <c r="L3" i="1"/>
  <c r="L4"/>
  <c r="E4" i="6" s="1"/>
  <c r="G4" s="1"/>
  <c r="L7" i="1"/>
  <c r="H3" i="7"/>
  <c r="H4"/>
  <c r="H5"/>
  <c r="H6"/>
  <c r="H7"/>
  <c r="H8"/>
  <c r="H9"/>
  <c r="H10"/>
  <c r="H11"/>
  <c r="H12"/>
  <c r="H13"/>
  <c r="H14"/>
  <c r="H15"/>
  <c r="H16"/>
  <c r="H17"/>
  <c r="H18"/>
  <c r="H19"/>
  <c r="H20"/>
  <c r="H21"/>
  <c r="H22"/>
  <c r="H23"/>
  <c r="H24"/>
  <c r="H25"/>
  <c r="H26"/>
  <c r="H27"/>
  <c r="H28"/>
  <c r="H29"/>
  <c r="G3"/>
  <c r="G4"/>
  <c r="G5"/>
  <c r="G6"/>
  <c r="G7"/>
  <c r="G8"/>
  <c r="G9"/>
  <c r="G10"/>
  <c r="G11"/>
  <c r="G12"/>
  <c r="G13"/>
  <c r="G14"/>
  <c r="G15"/>
  <c r="G16"/>
  <c r="G17"/>
  <c r="G18"/>
  <c r="G19"/>
  <c r="G20"/>
  <c r="G21"/>
  <c r="G22"/>
  <c r="G23"/>
  <c r="G24"/>
  <c r="G25"/>
  <c r="G26"/>
  <c r="G27"/>
  <c r="G28"/>
  <c r="G29"/>
  <c r="F3"/>
  <c r="F4"/>
  <c r="F5"/>
  <c r="F6"/>
  <c r="F7"/>
  <c r="F8"/>
  <c r="F9"/>
  <c r="F10"/>
  <c r="F11"/>
  <c r="F12"/>
  <c r="F13"/>
  <c r="F14"/>
  <c r="F15"/>
  <c r="F16"/>
  <c r="F17"/>
  <c r="F18"/>
  <c r="F19"/>
  <c r="F20"/>
  <c r="F21"/>
  <c r="F22"/>
  <c r="F23"/>
  <c r="F24"/>
  <c r="F25"/>
  <c r="F26"/>
  <c r="F27"/>
  <c r="F28"/>
  <c r="F29"/>
  <c r="H2"/>
  <c r="G2"/>
  <c r="F2"/>
  <c r="H2" i="1" a="1"/>
  <c r="H2" s="1"/>
  <c r="H3" a="1"/>
  <c r="H3" s="1"/>
  <c r="H4" a="1"/>
  <c r="H4" s="1"/>
  <c r="H5" a="1"/>
  <c r="H5" s="1"/>
  <c r="H6" a="1"/>
  <c r="H7" a="1"/>
  <c r="H7" s="1"/>
  <c r="H1" a="1"/>
  <c r="H1" s="1"/>
  <c r="O90" l="1"/>
  <c r="O86"/>
  <c r="O82"/>
  <c r="O78"/>
  <c r="O74"/>
  <c r="O70"/>
  <c r="O66"/>
  <c r="O62"/>
  <c r="O58"/>
  <c r="O54"/>
  <c r="O50"/>
  <c r="O46"/>
  <c r="O42"/>
  <c r="O38"/>
  <c r="O34"/>
  <c r="O30"/>
  <c r="O26"/>
  <c r="O22"/>
  <c r="O18"/>
  <c r="O14"/>
  <c r="O10"/>
  <c r="O6"/>
  <c r="Q77"/>
  <c r="S77" s="1" a="1"/>
  <c r="S77" s="1"/>
  <c r="Q45"/>
  <c r="S45" s="1" a="1"/>
  <c r="S45" s="1"/>
  <c r="Q13"/>
  <c r="S13" s="1" a="1"/>
  <c r="S13" s="1"/>
  <c r="R87"/>
  <c r="R66"/>
  <c r="R58"/>
  <c r="R53"/>
  <c r="R38"/>
  <c r="R30"/>
  <c r="R23"/>
  <c r="R86"/>
  <c r="R78"/>
  <c r="R50"/>
  <c r="R42"/>
  <c r="R22"/>
  <c r="R14"/>
  <c r="O84"/>
  <c r="O68"/>
  <c r="O64"/>
  <c r="Q85"/>
  <c r="S85" s="1" a="1"/>
  <c r="S85" s="1"/>
  <c r="Q21"/>
  <c r="S21" s="1" a="1"/>
  <c r="S21" s="1"/>
  <c r="R90"/>
  <c r="R70"/>
  <c r="R62"/>
  <c r="R34"/>
  <c r="R26"/>
  <c r="R88"/>
  <c r="Q88"/>
  <c r="S88" s="1" a="1"/>
  <c r="S88" s="1"/>
  <c r="R72"/>
  <c r="Q72"/>
  <c r="S72" s="1" a="1"/>
  <c r="S72" s="1"/>
  <c r="R56"/>
  <c r="Q56"/>
  <c r="S56" s="1" a="1"/>
  <c r="S56" s="1"/>
  <c r="R32"/>
  <c r="Q32"/>
  <c r="S32" s="1" a="1"/>
  <c r="S32" s="1"/>
  <c r="R16"/>
  <c r="Q16"/>
  <c r="S16" s="1" a="1"/>
  <c r="S16" s="1"/>
  <c r="R8"/>
  <c r="Q8"/>
  <c r="S8" s="1" a="1"/>
  <c r="S8" s="1"/>
  <c r="Q52"/>
  <c r="S52" s="1" a="1"/>
  <c r="S52" s="1"/>
  <c r="R75"/>
  <c r="R59"/>
  <c r="R43"/>
  <c r="R27"/>
  <c r="R11"/>
  <c r="R80"/>
  <c r="Q80"/>
  <c r="S80" s="1" a="1"/>
  <c r="S80" s="1"/>
  <c r="R64"/>
  <c r="Q64"/>
  <c r="S64" s="1" a="1"/>
  <c r="S64" s="1"/>
  <c r="R48"/>
  <c r="Q48"/>
  <c r="S48" s="1" a="1"/>
  <c r="S48" s="1"/>
  <c r="R40"/>
  <c r="Q40"/>
  <c r="S40" s="1" a="1"/>
  <c r="S40" s="1"/>
  <c r="R24"/>
  <c r="Q24"/>
  <c r="S24" s="1" a="1"/>
  <c r="S24" s="1"/>
  <c r="Q84"/>
  <c r="S84" s="1" a="1"/>
  <c r="S84" s="1"/>
  <c r="Q20"/>
  <c r="S20" s="1" a="1"/>
  <c r="S20" s="1"/>
  <c r="O88"/>
  <c r="Q3"/>
  <c r="S3" s="1" a="1"/>
  <c r="S3" s="1"/>
  <c r="R3"/>
  <c r="Q60"/>
  <c r="S60" s="1" a="1"/>
  <c r="S60" s="1"/>
  <c r="Q28"/>
  <c r="S28" s="1" a="1"/>
  <c r="S28" s="1"/>
  <c r="R91"/>
  <c r="O72"/>
  <c r="K94"/>
  <c r="B9" i="8" s="1"/>
  <c r="Q68" i="1"/>
  <c r="S68" s="1" a="1"/>
  <c r="S68" s="1"/>
  <c r="Q36"/>
  <c r="S36" s="1" a="1"/>
  <c r="S36" s="1"/>
  <c r="R79"/>
  <c r="R63"/>
  <c r="R47"/>
  <c r="R31"/>
  <c r="R15"/>
  <c r="Q76"/>
  <c r="S76" s="1" a="1"/>
  <c r="S76" s="1"/>
  <c r="Q44"/>
  <c r="S44" s="1" a="1"/>
  <c r="S44" s="1"/>
  <c r="Q12"/>
  <c r="S12" s="1" a="1"/>
  <c r="S12" s="1"/>
  <c r="R83"/>
  <c r="R67"/>
  <c r="R51"/>
  <c r="R35"/>
  <c r="R19"/>
  <c r="O2"/>
  <c r="O87"/>
  <c r="O79"/>
  <c r="O71"/>
  <c r="O63"/>
  <c r="O59"/>
  <c r="O51"/>
  <c r="O43"/>
  <c r="O35"/>
  <c r="O31"/>
  <c r="O23"/>
  <c r="O15"/>
  <c r="O83"/>
  <c r="O75"/>
  <c r="O67"/>
  <c r="O55"/>
  <c r="O47"/>
  <c r="O39"/>
  <c r="O27"/>
  <c r="O19"/>
  <c r="O11"/>
  <c r="O7"/>
  <c r="O3"/>
  <c r="O91"/>
  <c r="R5"/>
  <c r="R2"/>
  <c r="Q6"/>
  <c r="S6" s="1" a="1"/>
  <c r="S6" s="1"/>
  <c r="Q2"/>
  <c r="S2" s="1" a="1"/>
  <c r="S2" s="1"/>
  <c r="Q4"/>
  <c r="S4" s="1" a="1"/>
  <c r="S4" s="1"/>
  <c r="L5"/>
  <c r="O56"/>
  <c r="O52"/>
  <c r="O48"/>
  <c r="O44"/>
  <c r="O40"/>
  <c r="O36"/>
  <c r="O32"/>
  <c r="O28"/>
  <c r="O24"/>
  <c r="O20"/>
  <c r="O16"/>
  <c r="O12"/>
  <c r="O8"/>
  <c r="O4"/>
  <c r="H6"/>
  <c r="L6"/>
  <c r="E2" i="6" s="1"/>
  <c r="G2" s="1"/>
  <c r="L2" i="1"/>
  <c r="E3" i="6" s="1"/>
  <c r="G3" s="1"/>
  <c r="Q5" i="1"/>
  <c r="S5" s="1" a="1"/>
  <c r="S5" s="1"/>
  <c r="K7"/>
  <c r="J7"/>
  <c r="I7"/>
  <c r="K6"/>
  <c r="J6"/>
  <c r="I6"/>
  <c r="K5"/>
  <c r="J5"/>
  <c r="I5"/>
  <c r="K4"/>
  <c r="J4"/>
  <c r="I4"/>
  <c r="K3"/>
  <c r="J3"/>
  <c r="I3"/>
  <c r="K2"/>
  <c r="J2"/>
  <c r="I2"/>
  <c r="K1"/>
  <c r="J1"/>
  <c r="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xmlns:xda="http://schemas.microsoft.com/office/spreadsheetml/2017/dynamicarray">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<sst xmlns="http://schemas.openxmlformats.org/spreadsheetml/2006/main" count="598" uniqueCount="197">
  <si>
    <t>OrderID</t>
  </si>
  <si>
    <t>Date</t>
  </si>
  <si>
    <t>Region</t>
  </si>
  <si>
    <t>CustomerID</t>
  </si>
  <si>
    <t>Product</t>
  </si>
  <si>
    <t>Quantity</t>
  </si>
  <si>
    <t>UnitPrice</t>
  </si>
  <si>
    <t>Q1-001</t>
  </si>
  <si>
    <t>Q1-002</t>
  </si>
  <si>
    <t>Q1-003</t>
  </si>
  <si>
    <t>Q1-004</t>
  </si>
  <si>
    <t>Q1-005</t>
  </si>
  <si>
    <t>Q1-006</t>
  </si>
  <si>
    <t>Q1-007</t>
  </si>
  <si>
    <t>Q1-008</t>
  </si>
  <si>
    <t>Q1-009</t>
  </si>
  <si>
    <t>Q1-010</t>
  </si>
  <si>
    <t>Q1-011</t>
  </si>
  <si>
    <t>Q1-012</t>
  </si>
  <si>
    <t>Q1-013</t>
  </si>
  <si>
    <t>Q1-014</t>
  </si>
  <si>
    <t>Q1-015</t>
  </si>
  <si>
    <t>Q1-016</t>
  </si>
  <si>
    <t>Q1-017</t>
  </si>
  <si>
    <t>Q1-018</t>
  </si>
  <si>
    <t>Q1-019</t>
  </si>
  <si>
    <t>Q1-020</t>
  </si>
  <si>
    <t>Q1-021</t>
  </si>
  <si>
    <t>Q1-022</t>
  </si>
  <si>
    <t>Q1-023</t>
  </si>
  <si>
    <t>Q1-024</t>
  </si>
  <si>
    <t>Q1-025</t>
  </si>
  <si>
    <t>Q1-026</t>
  </si>
  <si>
    <t>Q1-027</t>
  </si>
  <si>
    <t>Q1-028</t>
  </si>
  <si>
    <t>Q1-029</t>
  </si>
  <si>
    <t>Q1-030</t>
  </si>
  <si>
    <t>South</t>
  </si>
  <si>
    <t>West</t>
  </si>
  <si>
    <t>East</t>
  </si>
  <si>
    <t>North</t>
  </si>
  <si>
    <t>Tablet</t>
  </si>
  <si>
    <t>Headphones</t>
  </si>
  <si>
    <t>Monitor</t>
  </si>
  <si>
    <t>Smartphone</t>
  </si>
  <si>
    <t>Laptop</t>
  </si>
  <si>
    <t>Printer</t>
  </si>
  <si>
    <t>Q2-030</t>
  </si>
  <si>
    <t>Q2-029</t>
  </si>
  <si>
    <t>Q2-028</t>
  </si>
  <si>
    <t>Q2-027</t>
  </si>
  <si>
    <t>Q2-026</t>
  </si>
  <si>
    <t>Q2-025</t>
  </si>
  <si>
    <t>Q2-024</t>
  </si>
  <si>
    <t>Q2-023</t>
  </si>
  <si>
    <t>Q2-022</t>
  </si>
  <si>
    <t>Q2-021</t>
  </si>
  <si>
    <t>Q2-020</t>
  </si>
  <si>
    <t>Q2-019</t>
  </si>
  <si>
    <t>Q2-018</t>
  </si>
  <si>
    <t>Q2-017</t>
  </si>
  <si>
    <t>Q2-016</t>
  </si>
  <si>
    <t>Q2-015</t>
  </si>
  <si>
    <t>Q2-014</t>
  </si>
  <si>
    <t>Q2-013</t>
  </si>
  <si>
    <t>Q2-012</t>
  </si>
  <si>
    <t>Q2-011</t>
  </si>
  <si>
    <t>Q2-010</t>
  </si>
  <si>
    <t>Q2-009</t>
  </si>
  <si>
    <t>Q2-008</t>
  </si>
  <si>
    <t>Q2-007</t>
  </si>
  <si>
    <t>Q2-006</t>
  </si>
  <si>
    <t>Q2-005</t>
  </si>
  <si>
    <t>Q2-004</t>
  </si>
  <si>
    <t>Q2-003</t>
  </si>
  <si>
    <t>Q2-002</t>
  </si>
  <si>
    <t>Q2-001</t>
  </si>
  <si>
    <t>Q3-030</t>
  </si>
  <si>
    <t>Q3-029</t>
  </si>
  <si>
    <t>Q3-028</t>
  </si>
  <si>
    <t>Q3-027</t>
  </si>
  <si>
    <t>Q3-026</t>
  </si>
  <si>
    <t>Q3-025</t>
  </si>
  <si>
    <t>Q3-024</t>
  </si>
  <si>
    <t>Q3-023</t>
  </si>
  <si>
    <t>Q3-022</t>
  </si>
  <si>
    <t>Q3-021</t>
  </si>
  <si>
    <t>Q3-020</t>
  </si>
  <si>
    <t>Q3-019</t>
  </si>
  <si>
    <t>Q3-018</t>
  </si>
  <si>
    <t>Q3-017</t>
  </si>
  <si>
    <t>Q3-016</t>
  </si>
  <si>
    <t>Q3-015</t>
  </si>
  <si>
    <t>Q3-014</t>
  </si>
  <si>
    <t>Q3-013</t>
  </si>
  <si>
    <t>Q3-012</t>
  </si>
  <si>
    <t>Q3-011</t>
  </si>
  <si>
    <t>Q3-010</t>
  </si>
  <si>
    <t>Q3-009</t>
  </si>
  <si>
    <t>Q3-008</t>
  </si>
  <si>
    <t>Q3-007</t>
  </si>
  <si>
    <t>Q3-006</t>
  </si>
  <si>
    <t>Q3-005</t>
  </si>
  <si>
    <t>Q3-004</t>
  </si>
  <si>
    <t>Q3-003</t>
  </si>
  <si>
    <t>Q3-002</t>
  </si>
  <si>
    <t>Q3-001</t>
  </si>
  <si>
    <t>Office</t>
  </si>
  <si>
    <t>Electronics</t>
  </si>
  <si>
    <t>Accessories</t>
  </si>
  <si>
    <t>Discount</t>
  </si>
  <si>
    <t>UnitCost</t>
  </si>
  <si>
    <t>Category</t>
  </si>
  <si>
    <t>ReturnRate</t>
  </si>
  <si>
    <t>DeliveryDays</t>
  </si>
  <si>
    <t>OtherExpenses</t>
  </si>
  <si>
    <t>Salaries</t>
  </si>
  <si>
    <t>Overheads</t>
  </si>
  <si>
    <t>Month</t>
  </si>
  <si>
    <t>michael.mlambo@example.com</t>
  </si>
  <si>
    <t>Mlambo</t>
  </si>
  <si>
    <t>Michael</t>
  </si>
  <si>
    <t>john.mlambo@example.com</t>
  </si>
  <si>
    <t>John</t>
  </si>
  <si>
    <t>john.smith@example.com</t>
  </si>
  <si>
    <t>Smith</t>
  </si>
  <si>
    <t>lerato.van wyk@example.com</t>
  </si>
  <si>
    <t>van Wyk</t>
  </si>
  <si>
    <t>Lerato</t>
  </si>
  <si>
    <t>aisha.brown@example.com</t>
  </si>
  <si>
    <t>Brown</t>
  </si>
  <si>
    <t>Aisha</t>
  </si>
  <si>
    <t>lerato.naidoo@example.com</t>
  </si>
  <si>
    <t>Naidoo</t>
  </si>
  <si>
    <t>sipho.van wyk@example.com</t>
  </si>
  <si>
    <t>Sipho</t>
  </si>
  <si>
    <t>thabo.botha@example.com</t>
  </si>
  <si>
    <t>Botha</t>
  </si>
  <si>
    <t>Thabo</t>
  </si>
  <si>
    <t>david.van wyk@example.com</t>
  </si>
  <si>
    <t>David</t>
  </si>
  <si>
    <t>naledi.nguyen@example.com</t>
  </si>
  <si>
    <t>Nguyen</t>
  </si>
  <si>
    <t>Naledi</t>
  </si>
  <si>
    <t>sipho.smith@example.com</t>
  </si>
  <si>
    <t>sipho.nguyen@example.com</t>
  </si>
  <si>
    <t>naledi.van wyk@example.com</t>
  </si>
  <si>
    <t>john.brown@example.com</t>
  </si>
  <si>
    <t>sarah.nguyen@example.com</t>
  </si>
  <si>
    <t>Sarah</t>
  </si>
  <si>
    <t>sipho.johnson@example.com</t>
  </si>
  <si>
    <t>Johnson</t>
  </si>
  <si>
    <t>michael.nguyen@example.com</t>
  </si>
  <si>
    <t>emily.johnson@example.com</t>
  </si>
  <si>
    <t>Emily</t>
  </si>
  <si>
    <t>michael.johnson@example.com</t>
  </si>
  <si>
    <t>naledi.botha@example.com</t>
  </si>
  <si>
    <t>michael.van wyk@example.com</t>
  </si>
  <si>
    <t>naledi.pillay@example.com</t>
  </si>
  <si>
    <t>Pillay</t>
  </si>
  <si>
    <t>Email</t>
  </si>
  <si>
    <t>LastName</t>
  </si>
  <si>
    <t>FirstName</t>
  </si>
  <si>
    <t>Extracted First Name</t>
  </si>
  <si>
    <t>Extracted Last Name</t>
  </si>
  <si>
    <t>Extracted Email Domain</t>
  </si>
  <si>
    <t>Profit</t>
  </si>
  <si>
    <t>Revenue</t>
  </si>
  <si>
    <t>Gross Profit</t>
  </si>
  <si>
    <t>Total Expenses</t>
  </si>
  <si>
    <t>Net Profit</t>
  </si>
  <si>
    <t>Delivery Days</t>
  </si>
  <si>
    <t>Return Rate</t>
  </si>
  <si>
    <t>Order Efficiency</t>
  </si>
  <si>
    <t>Average Delivery Time</t>
  </si>
  <si>
    <t>Average Return Rate</t>
  </si>
  <si>
    <t>% of High Efficiency Orders</t>
  </si>
  <si>
    <t>Discounted Revenue</t>
  </si>
  <si>
    <t>Customer Classification</t>
  </si>
  <si>
    <t>Product_Categories</t>
  </si>
  <si>
    <t>Order Count</t>
  </si>
  <si>
    <t>Avg Delivery Days</t>
  </si>
  <si>
    <t>Unique customer purchase</t>
  </si>
  <si>
    <t>Row Labels</t>
  </si>
  <si>
    <t>Grand Total</t>
  </si>
  <si>
    <t>Sum of Revenue</t>
  </si>
  <si>
    <t>Sum of Profit</t>
  </si>
  <si>
    <t>Low Value</t>
  </si>
  <si>
    <t>Count of CustomerID</t>
  </si>
  <si>
    <t>Average of Delivery Days</t>
  </si>
  <si>
    <t>Sum of Profit Margin %</t>
  </si>
  <si>
    <t>Average of Return Rate</t>
  </si>
  <si>
    <t>Total Revenue</t>
  </si>
  <si>
    <t>Top Customer</t>
  </si>
  <si>
    <t>On-Time Delivery%</t>
  </si>
  <si>
    <t>Dashboard</t>
  </si>
  <si>
    <t>Pivot Tables</t>
  </si>
</sst>
</file>

<file path=xl/styles.xml><?xml version="1.0" encoding="utf-8"?>
<styleSheet xmlns="http://schemas.openxmlformats.org/spreadsheetml/2006/main">
  <numFmts count="2">
    <numFmt numFmtId="44" formatCode="_-&quot;R&quot;* #,##0.00_-;\-&quot;R&quot;* #,##0.00_-;_-&quot;R&quot;* &quot;-&quot;??_-;_-@_-"/>
    <numFmt numFmtId="164" formatCode="dd/mm/yyyy;@"/>
  </numFmts>
  <fonts count="10">
    <font>
      <sz val="11"/>
      <color theme="1"/>
      <name val="Calibri"/>
      <family val="2"/>
      <scheme val="minor"/>
    </font>
    <font>
      <b/>
      <sz val="11"/>
      <color theme="1"/>
      <name val="Calibri"/>
      <family val="2"/>
      <scheme val="minor"/>
    </font>
    <font>
      <sz val="11"/>
      <color theme="1"/>
      <name val="Calibri"/>
      <family val="2"/>
      <scheme val="minor"/>
    </font>
    <font>
      <sz val="11"/>
      <color rgb="FF9C0006"/>
      <name val="Calibri"/>
      <family val="2"/>
      <scheme val="minor"/>
    </font>
    <font>
      <sz val="11"/>
      <color theme="0"/>
      <name val="Calibri"/>
      <family val="2"/>
      <scheme val="minor"/>
    </font>
    <font>
      <b/>
      <sz val="26"/>
      <color theme="1"/>
      <name val="Aptos Narrow"/>
      <family val="2"/>
    </font>
    <font>
      <sz val="11"/>
      <color rgb="FF006100"/>
      <name val="Calibri"/>
      <family val="2"/>
      <scheme val="minor"/>
    </font>
    <font>
      <b/>
      <sz val="11"/>
      <color theme="0"/>
      <name val="Calibri"/>
      <family val="2"/>
      <scheme val="minor"/>
    </font>
    <font>
      <sz val="11"/>
      <color theme="5" tint="-0.249977111117893"/>
      <name val="Calibri"/>
      <family val="2"/>
      <scheme val="minor"/>
    </font>
    <font>
      <sz val="24"/>
      <color theme="1"/>
      <name val="Calibri"/>
      <family val="2"/>
      <scheme val="minor"/>
    </font>
  </fonts>
  <fills count="27">
    <fill>
      <patternFill patternType="none"/>
    </fill>
    <fill>
      <patternFill patternType="gray125"/>
    </fill>
    <fill>
      <patternFill patternType="solid">
        <fgColor rgb="FFFFC7CE"/>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rgb="FFC6EFCE"/>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8"/>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20">
    <xf numFmtId="0" fontId="0" fillId="0" borderId="0"/>
    <xf numFmtId="9"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6" fillId="8" borderId="0" applyNumberFormat="0" applyBorder="0" applyAlignment="0" applyProtection="0"/>
    <xf numFmtId="0" fontId="4" fillId="9" borderId="0" applyNumberFormat="0" applyBorder="0" applyAlignment="0" applyProtection="0"/>
    <xf numFmtId="0" fontId="2" fillId="10" borderId="0" applyNumberFormat="0" applyBorder="0" applyAlignment="0" applyProtection="0"/>
    <xf numFmtId="0" fontId="4"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164" fontId="2" fillId="19" borderId="1" applyFont="0" applyProtection="0"/>
  </cellStyleXfs>
  <cellXfs count="78">
    <xf numFmtId="0" fontId="0" fillId="0" borderId="0" xfId="0"/>
    <xf numFmtId="164" fontId="0" fillId="0" borderId="0" xfId="0" applyNumberFormat="1"/>
    <xf numFmtId="0" fontId="1" fillId="0" borderId="0" xfId="0" applyFont="1"/>
    <xf numFmtId="0" fontId="0" fillId="0" borderId="2" xfId="0" applyBorder="1"/>
    <xf numFmtId="0" fontId="0" fillId="0" borderId="3" xfId="0" applyBorder="1"/>
    <xf numFmtId="0" fontId="3" fillId="2" borderId="2" xfId="2" applyBorder="1"/>
    <xf numFmtId="0" fontId="0" fillId="0" borderId="0" xfId="0" pivotButton="1"/>
    <xf numFmtId="0" fontId="0" fillId="0" borderId="0" xfId="0" applyAlignment="1">
      <alignment horizontal="left"/>
    </xf>
    <xf numFmtId="2" fontId="0" fillId="0" borderId="0" xfId="0" applyNumberFormat="1"/>
    <xf numFmtId="44" fontId="0" fillId="0" borderId="0" xfId="0" applyNumberFormat="1"/>
    <xf numFmtId="164" fontId="0" fillId="0" borderId="2" xfId="0" applyNumberFormat="1" applyBorder="1"/>
    <xf numFmtId="9" fontId="0" fillId="0" borderId="2" xfId="1" applyFont="1" applyBorder="1"/>
    <xf numFmtId="0" fontId="4" fillId="9" borderId="1" xfId="9" applyBorder="1" applyAlignment="1">
      <alignment horizontal="center" vertical="top"/>
    </xf>
    <xf numFmtId="0" fontId="2" fillId="10" borderId="8" xfId="10" applyBorder="1"/>
    <xf numFmtId="0" fontId="2" fillId="10" borderId="9" xfId="10" applyBorder="1"/>
    <xf numFmtId="0" fontId="2" fillId="10" borderId="4" xfId="10" applyBorder="1"/>
    <xf numFmtId="0" fontId="2" fillId="10" borderId="2" xfId="10" applyBorder="1"/>
    <xf numFmtId="0" fontId="2" fillId="10" borderId="3" xfId="10" applyBorder="1"/>
    <xf numFmtId="0" fontId="0" fillId="0" borderId="1" xfId="0" applyBorder="1" applyAlignment="1">
      <alignment horizontal="left"/>
    </xf>
    <xf numFmtId="0" fontId="0" fillId="0" borderId="1" xfId="0" applyBorder="1"/>
    <xf numFmtId="164" fontId="2" fillId="6" borderId="1" xfId="6" applyNumberFormat="1" applyBorder="1"/>
    <xf numFmtId="0" fontId="2" fillId="6" borderId="1" xfId="6" applyBorder="1"/>
    <xf numFmtId="164" fontId="2" fillId="7" borderId="1" xfId="7" applyNumberFormat="1" applyBorder="1"/>
    <xf numFmtId="0" fontId="2" fillId="7" borderId="1" xfId="7" applyBorder="1"/>
    <xf numFmtId="164" fontId="2" fillId="6" borderId="3" xfId="6" applyNumberFormat="1" applyBorder="1"/>
    <xf numFmtId="0" fontId="2" fillId="6" borderId="3" xfId="6" applyBorder="1"/>
    <xf numFmtId="164" fontId="7" fillId="15" borderId="10" xfId="15" applyNumberFormat="1" applyFont="1" applyBorder="1" applyAlignment="1">
      <alignment horizontal="center" vertical="top"/>
    </xf>
    <xf numFmtId="0" fontId="7" fillId="15" borderId="11" xfId="15" applyFont="1" applyBorder="1" applyAlignment="1">
      <alignment horizontal="center" vertical="top"/>
    </xf>
    <xf numFmtId="0" fontId="7" fillId="15" borderId="12" xfId="15" applyFont="1" applyBorder="1" applyAlignment="1">
      <alignment horizontal="center" vertical="top"/>
    </xf>
    <xf numFmtId="0" fontId="2" fillId="17" borderId="4" xfId="17" applyBorder="1"/>
    <xf numFmtId="0" fontId="2" fillId="17" borderId="2" xfId="17" applyBorder="1"/>
    <xf numFmtId="0" fontId="4" fillId="16" borderId="1" xfId="16" applyBorder="1" applyAlignment="1">
      <alignment horizontal="center" vertical="top"/>
    </xf>
    <xf numFmtId="0" fontId="2" fillId="18" borderId="2" xfId="18" applyBorder="1"/>
    <xf numFmtId="0" fontId="2" fillId="14" borderId="2" xfId="14" applyBorder="1"/>
    <xf numFmtId="0" fontId="8" fillId="14" borderId="2" xfId="14" applyFont="1" applyBorder="1"/>
    <xf numFmtId="0" fontId="8" fillId="14" borderId="3" xfId="14" applyFont="1" applyBorder="1"/>
    <xf numFmtId="0" fontId="0" fillId="0" borderId="13" xfId="0" applyBorder="1"/>
    <xf numFmtId="44" fontId="0" fillId="0" borderId="13" xfId="0" applyNumberFormat="1" applyBorder="1"/>
    <xf numFmtId="164" fontId="4" fillId="20" borderId="1" xfId="19" applyFont="1" applyFill="1"/>
    <xf numFmtId="0" fontId="2" fillId="20" borderId="1" xfId="5" applyFill="1" applyBorder="1"/>
    <xf numFmtId="164" fontId="4" fillId="20" borderId="1" xfId="3" applyNumberFormat="1" applyFill="1" applyBorder="1"/>
    <xf numFmtId="0" fontId="4" fillId="20" borderId="1" xfId="3" applyFill="1" applyBorder="1"/>
    <xf numFmtId="9" fontId="4" fillId="20" borderId="1" xfId="3" applyNumberFormat="1" applyFill="1" applyBorder="1"/>
    <xf numFmtId="0" fontId="4" fillId="20" borderId="1" xfId="3" applyFill="1" applyBorder="1" applyProtection="1">
      <protection locked="0"/>
    </xf>
    <xf numFmtId="0" fontId="2" fillId="20" borderId="1" xfId="4" applyFill="1" applyBorder="1"/>
    <xf numFmtId="0" fontId="6" fillId="20" borderId="1" xfId="8" applyFill="1" applyBorder="1"/>
    <xf numFmtId="0" fontId="7" fillId="22" borderId="10" xfId="11" applyFont="1" applyFill="1" applyBorder="1" applyAlignment="1">
      <alignment horizontal="center" vertical="top"/>
    </xf>
    <xf numFmtId="0" fontId="7" fillId="22" borderId="11" xfId="11" applyFont="1" applyFill="1" applyBorder="1" applyAlignment="1">
      <alignment horizontal="center" vertical="top"/>
    </xf>
    <xf numFmtId="0" fontId="7" fillId="22" borderId="12" xfId="11" applyFont="1" applyFill="1" applyBorder="1" applyAlignment="1">
      <alignment horizontal="center" vertical="top"/>
    </xf>
    <xf numFmtId="0" fontId="2" fillId="22" borderId="3" xfId="14" applyFill="1" applyBorder="1"/>
    <xf numFmtId="0" fontId="2" fillId="22" borderId="3" xfId="12" applyFill="1" applyBorder="1"/>
    <xf numFmtId="0" fontId="2" fillId="22" borderId="1" xfId="13" applyFill="1" applyBorder="1"/>
    <xf numFmtId="0" fontId="2" fillId="22" borderId="1" xfId="14" applyFill="1" applyBorder="1"/>
    <xf numFmtId="0" fontId="2" fillId="22" borderId="1" xfId="12" applyFill="1" applyBorder="1"/>
    <xf numFmtId="0" fontId="9" fillId="21" borderId="5" xfId="11" applyFont="1" applyFill="1" applyBorder="1" applyAlignment="1">
      <alignment horizontal="center"/>
    </xf>
    <xf numFmtId="0" fontId="9" fillId="21" borderId="6" xfId="11" applyFont="1" applyFill="1" applyBorder="1" applyAlignment="1">
      <alignment horizontal="center"/>
    </xf>
    <xf numFmtId="0" fontId="9" fillId="21" borderId="7" xfId="11" applyFont="1" applyFill="1" applyBorder="1" applyAlignment="1">
      <alignment horizontal="center"/>
    </xf>
    <xf numFmtId="0" fontId="0" fillId="23" borderId="0" xfId="0" applyFill="1"/>
    <xf numFmtId="0" fontId="0" fillId="23" borderId="0" xfId="0" applyFill="1" applyAlignment="1">
      <alignment horizontal="left"/>
    </xf>
    <xf numFmtId="2" fontId="0" fillId="23" borderId="0" xfId="0" applyNumberFormat="1" applyFill="1"/>
    <xf numFmtId="0" fontId="0" fillId="23" borderId="1" xfId="0" applyFill="1" applyBorder="1" applyAlignment="1">
      <alignment horizontal="left"/>
    </xf>
    <xf numFmtId="2" fontId="0" fillId="23" borderId="1" xfId="0" applyNumberFormat="1" applyFill="1" applyBorder="1"/>
    <xf numFmtId="0" fontId="2" fillId="23" borderId="1" xfId="0" applyFont="1" applyFill="1" applyBorder="1" applyAlignment="1">
      <alignment horizontal="left"/>
    </xf>
    <xf numFmtId="2" fontId="2" fillId="23" borderId="1" xfId="0" applyNumberFormat="1" applyFont="1" applyFill="1" applyBorder="1"/>
    <xf numFmtId="0" fontId="1" fillId="24" borderId="1" xfId="5" applyFont="1" applyFill="1" applyBorder="1"/>
    <xf numFmtId="44" fontId="2" fillId="24" borderId="1" xfId="4" applyNumberFormat="1" applyFill="1" applyBorder="1"/>
    <xf numFmtId="0" fontId="1" fillId="24" borderId="0" xfId="5" applyFont="1" applyFill="1"/>
    <xf numFmtId="0" fontId="2" fillId="24" borderId="1" xfId="4" applyFill="1" applyBorder="1"/>
    <xf numFmtId="9" fontId="2" fillId="24" borderId="1" xfId="4" applyNumberFormat="1" applyFill="1" applyBorder="1"/>
    <xf numFmtId="0" fontId="1" fillId="25" borderId="3" xfId="7" applyFont="1" applyFill="1" applyBorder="1"/>
    <xf numFmtId="2" fontId="2" fillId="25" borderId="3" xfId="6" applyNumberFormat="1" applyFill="1" applyBorder="1"/>
    <xf numFmtId="0" fontId="1" fillId="25" borderId="1" xfId="7" applyFont="1" applyFill="1" applyBorder="1"/>
    <xf numFmtId="2" fontId="2" fillId="25" borderId="0" xfId="6" applyNumberFormat="1" applyFill="1"/>
    <xf numFmtId="0" fontId="1" fillId="25" borderId="0" xfId="7" applyFont="1" applyFill="1"/>
    <xf numFmtId="9" fontId="2" fillId="25" borderId="1" xfId="6" applyNumberFormat="1" applyFill="1" applyBorder="1"/>
    <xf numFmtId="0" fontId="5" fillId="26" borderId="5" xfId="3" applyFont="1" applyFill="1" applyBorder="1" applyAlignment="1">
      <alignment horizontal="center"/>
    </xf>
    <xf numFmtId="0" fontId="5" fillId="26" borderId="6" xfId="3" applyFont="1" applyFill="1" applyBorder="1" applyAlignment="1">
      <alignment horizontal="center"/>
    </xf>
    <xf numFmtId="0" fontId="5" fillId="26" borderId="7" xfId="3" applyFont="1" applyFill="1" applyBorder="1" applyAlignment="1">
      <alignment horizontal="center"/>
    </xf>
  </cellXfs>
  <cellStyles count="20">
    <cellStyle name="20% - Accent2" xfId="12" builtinId="34"/>
    <cellStyle name="40% - Accent2" xfId="13" builtinId="35"/>
    <cellStyle name="40% - Accent4" xfId="4" builtinId="43"/>
    <cellStyle name="40% - Accent5" xfId="6" builtinId="47"/>
    <cellStyle name="40% - Accent6" xfId="17" builtinId="51"/>
    <cellStyle name="60% - Accent1" xfId="10" builtinId="32"/>
    <cellStyle name="60% - Accent2" xfId="14" builtinId="36"/>
    <cellStyle name="60% - Accent4" xfId="5" builtinId="44"/>
    <cellStyle name="60% - Accent5" xfId="7" builtinId="48"/>
    <cellStyle name="60% - Accent6" xfId="18" builtinId="52"/>
    <cellStyle name="Accent1" xfId="9" builtinId="29"/>
    <cellStyle name="Accent2" xfId="11" builtinId="33"/>
    <cellStyle name="Accent4" xfId="3" builtinId="41"/>
    <cellStyle name="Accent5" xfId="15" builtinId="45"/>
    <cellStyle name="Accent6" xfId="16" builtinId="49"/>
    <cellStyle name="Bad" xfId="2" builtinId="27"/>
    <cellStyle name="Good" xfId="8" builtinId="26"/>
    <cellStyle name="Normal" xfId="0" builtinId="0"/>
    <cellStyle name="Percent" xfId="1" builtinId="5"/>
    <cellStyle name="Style 1" xfId="19"/>
  </cellStyles>
  <dxfs count="37">
    <dxf>
      <fill>
        <patternFill>
          <bgColor theme="6"/>
        </patternFill>
      </fill>
    </dxf>
    <dxf>
      <fill>
        <patternFill patternType="solid">
          <bgColor theme="6"/>
        </patternFill>
      </fill>
    </dxf>
    <dxf>
      <numFmt numFmtId="2" formatCode="0.00"/>
    </dxf>
    <dxf>
      <numFmt numFmtId="2" formatCode="0.00"/>
    </dxf>
    <dxf>
      <numFmt numFmtId="34" formatCode="_-&quot;R&quot;* #,##0.00_-;\-&quot;R&quot;* #,##0.00_-;_-&quot;R&quot;* &quot;-&quot;??_-;_-@_-"/>
    </dxf>
    <dxf>
      <numFmt numFmtId="34" formatCode="_-&quot;R&quot;* #,##0.00_-;\-&quot;R&quot;* #,##0.00_-;_-&quot;R&quot;* &quot;-&quot;??_-;_-@_-"/>
    </dxf>
    <dxf>
      <numFmt numFmtId="2" formatCode="0.00"/>
    </dxf>
    <dxf>
      <numFmt numFmtId="13" formatCode="0%"/>
    </dxf>
    <dxf>
      <numFmt numFmtId="13" formatCode="0%"/>
    </dxf>
    <dxf>
      <numFmt numFmtId="13" formatCode="0%"/>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font>
        <color rgb="FF9C0006"/>
      </font>
      <fill>
        <patternFill>
          <bgColor rgb="FFFFC7CE"/>
        </patternFill>
      </fill>
    </dxf>
    <dxf>
      <font>
        <color rgb="FF006100"/>
      </font>
      <fill>
        <patternFill>
          <bgColor rgb="FFC6EFCE"/>
        </patternFill>
      </fill>
    </dxf>
    <dxf>
      <fill>
        <patternFill>
          <bgColor theme="9"/>
        </patternFill>
      </fill>
    </dxf>
    <dxf>
      <font>
        <color rgb="FF006100"/>
      </font>
      <fill>
        <patternFill>
          <bgColor rgb="FFC6EFCE"/>
        </patternFill>
      </fill>
    </dxf>
    <dxf>
      <font>
        <b val="0"/>
        <i val="0"/>
        <strike val="0"/>
        <condense val="0"/>
        <extend val="0"/>
        <outline val="0"/>
        <shadow val="0"/>
        <u val="none"/>
        <vertAlign val="baseline"/>
        <sz val="11"/>
        <color theme="1"/>
        <name val="Calibri"/>
        <scheme val="minor"/>
      </font>
      <fill>
        <patternFill patternType="solid">
          <fgColor indexed="65"/>
          <bgColor theme="7" tint="0.39997558519241921"/>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R&quot;* #,##0.00_-;\-&quot;R&quot;* #,##0.00_-;_-&quot;R&quot;* &quot;-&quot;??_-;_-@_-"/>
    </dxf>
    <dxf>
      <numFmt numFmtId="34" formatCode="_-&quot;R&quot;* #,##0.00_-;\-&quot;R&quot;* #,##0.00_-;_-&quot;R&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[Excel Capstone Project.xlsx]PivotTables!PivotTable2</c:name>
    <c:fmtId val="4"/>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Relationship</a:t>
            </a:r>
            <a:r>
              <a:rPr lang="en-ZA" baseline="0"/>
              <a:t> between Categories and Profit Margins</a:t>
            </a:r>
            <a:endParaRPr lang="en-ZA"/>
          </a:p>
        </c:rich>
      </c:tx>
      <c:layout/>
      <c:spPr>
        <a:noFill/>
        <a:ln>
          <a:noFill/>
        </a:ln>
        <a:effectLst/>
      </c:spPr>
    </c:title>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xmlns:c16r2="http://schemas.microsoft.com/office/drawing/2015/06/char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xmlns:c16r2="http://schemas.microsoft.com/office/drawing/2015/06/char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ser>
          <c:idx val="0"/>
          <c:order val="0"/>
          <c:tx>
            <c:strRef>
              <c:f>PivotTables!$G$3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PivotTables!$F$4:$F$7</c:f>
              <c:strCache>
                <c:ptCount val="3"/>
                <c:pt idx="0">
                  <c:v>Accessories</c:v>
                </c:pt>
                <c:pt idx="1">
                  <c:v>Electronics</c:v>
                </c:pt>
                <c:pt idx="2">
                  <c:v>Office</c:v>
                </c:pt>
              </c:strCache>
            </c:strRef>
          </c:cat>
          <c:val>
            <c:numRef>
              <c:f>PivotTables!$G$4:$G$7</c:f>
              <c:numCache>
                <c:formatCode>General</c:formatCode>
                <c:ptCount val="3"/>
                <c:pt idx="0">
                  <c:v>-140123</c:v>
                </c:pt>
                <c:pt idx="1">
                  <c:v>-597481</c:v>
                </c:pt>
                <c:pt idx="2">
                  <c:v>11046</c:v>
                </c:pt>
              </c:numCache>
            </c:numRef>
          </c:val>
          <c:extLst xmlns:c16r2="http://schemas.microsoft.com/office/drawing/2015/06/chart">
            <c:ext xmlns:c16="http://schemas.microsoft.com/office/drawing/2014/chart" uri="{C3380CC4-5D6E-409C-BE32-E72D297353CC}">
              <c16:uniqueId val="{00000000-927A-4797-BA85-3739995ABB27}"/>
            </c:ext>
          </c:extLst>
        </c:ser>
        <c:dLbls/>
        <c:gapWidth val="219"/>
        <c:overlap val="-27"/>
        <c:axId val="101929344"/>
        <c:axId val="101931264"/>
      </c:barChart>
      <c:lineChart>
        <c:grouping val="standard"/>
        <c:ser>
          <c:idx val="1"/>
          <c:order val="1"/>
          <c:tx>
            <c:strRef>
              <c:f>PivotTables!$H$3</c:f>
              <c:strCache>
                <c:ptCount val="1"/>
                <c:pt idx="0">
                  <c:v>Sum of Profit Margin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PivotTables!$F$4:$F$7</c:f>
              <c:strCache>
                <c:ptCount val="3"/>
                <c:pt idx="0">
                  <c:v>Accessories</c:v>
                </c:pt>
                <c:pt idx="1">
                  <c:v>Electronics</c:v>
                </c:pt>
                <c:pt idx="2">
                  <c:v>Office</c:v>
                </c:pt>
              </c:strCache>
            </c:strRef>
          </c:cat>
          <c:val>
            <c:numRef>
              <c:f>PivotTables!$H$4:$H$7</c:f>
              <c:numCache>
                <c:formatCode>0.00</c:formatCode>
                <c:ptCount val="3"/>
                <c:pt idx="0">
                  <c:v>-123.56525573192239</c:v>
                </c:pt>
                <c:pt idx="1">
                  <c:v>-25.890757030809898</c:v>
                </c:pt>
                <c:pt idx="2">
                  <c:v>2.6485969341879051E-2</c:v>
                </c:pt>
              </c:numCache>
            </c:numRef>
          </c:val>
          <c:extLst xmlns:c16r2="http://schemas.microsoft.com/office/drawing/2015/06/chart">
            <c:ext xmlns:c16="http://schemas.microsoft.com/office/drawing/2014/chart" uri="{C3380CC4-5D6E-409C-BE32-E72D297353CC}">
              <c16:uniqueId val="{00000001-927A-4797-BA85-3739995ABB27}"/>
            </c:ext>
          </c:extLst>
        </c:ser>
        <c:dLbls/>
        <c:marker val="1"/>
        <c:axId val="101939072"/>
        <c:axId val="101937152"/>
      </c:lineChart>
      <c:catAx>
        <c:axId val="101929344"/>
        <c:scaling>
          <c:orientation val="minMax"/>
        </c:scaling>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sz="1200"/>
                  <a:t>SuM</a:t>
                </a:r>
                <a:r>
                  <a:rPr lang="en-ZA" sz="1200" baseline="0"/>
                  <a:t> OF PROFIT PER RESPECTIVE CATEGORIES</a:t>
                </a:r>
              </a:p>
            </c:rich>
          </c:tx>
          <c:layout>
            <c:manualLayout>
              <c:xMode val="edge"/>
              <c:yMode val="edge"/>
              <c:x val="0.32254059548470115"/>
              <c:y val="0.87292000685565663"/>
            </c:manualLayout>
          </c:layout>
          <c:spPr>
            <a:noFill/>
            <a:ln>
              <a:noFill/>
            </a:ln>
            <a:effectLst/>
          </c:spPr>
        </c:title>
        <c:numFmt formatCode="General" sourceLinked="1"/>
        <c:maj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31264"/>
        <c:crosses val="autoZero"/>
        <c:auto val="1"/>
        <c:lblAlgn val="ctr"/>
        <c:lblOffset val="100"/>
      </c:catAx>
      <c:valAx>
        <c:axId val="101931264"/>
        <c:scaling>
          <c:orientation val="minMax"/>
        </c:scaling>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sz="1200"/>
                  <a:t>AMOUNT</a:t>
                </a:r>
                <a:r>
                  <a:rPr lang="en-ZA" sz="1200" baseline="0"/>
                  <a:t> (ZAR)</a:t>
                </a:r>
                <a:endParaRPr lang="en-ZA" sz="1200"/>
              </a:p>
            </c:rich>
          </c:tx>
          <c:layout>
            <c:manualLayout>
              <c:xMode val="edge"/>
              <c:yMode val="edge"/>
              <c:x val="1.7834769604650271E-2"/>
              <c:y val="0.37511097112600322"/>
            </c:manualLayout>
          </c:layout>
          <c:spPr>
            <a:noFill/>
            <a:ln>
              <a:noFill/>
            </a:ln>
            <a:effectLst/>
          </c:spPr>
        </c:title>
        <c:numFmt formatCode="General"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29344"/>
        <c:crosses val="autoZero"/>
        <c:crossBetween val="between"/>
      </c:valAx>
      <c:valAx>
        <c:axId val="101937152"/>
        <c:scaling>
          <c:orientation val="minMax"/>
        </c:scaling>
        <c:axPos val="r"/>
        <c:title>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39072"/>
        <c:crosses val="max"/>
        <c:crossBetween val="between"/>
      </c:valAx>
      <c:catAx>
        <c:axId val="101939072"/>
        <c:scaling>
          <c:orientation val="minMax"/>
        </c:scaling>
        <c:delete val="1"/>
        <c:axPos val="b"/>
        <c:numFmt formatCode="General" sourceLinked="1"/>
        <c:majorTickMark val="none"/>
        <c:tickLblPos val="none"/>
        <c:crossAx val="101937152"/>
        <c:crosses val="autoZero"/>
        <c:auto val="1"/>
        <c:lblAlgn val="ctr"/>
        <c:lblOffset val="10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Relationship</a:t>
            </a:r>
            <a:r>
              <a:rPr lang="en-ZA" baseline="0"/>
              <a:t> Between Total Expenses And Net Profit</a:t>
            </a:r>
            <a:endParaRPr lang="en-ZA"/>
          </a:p>
        </c:rich>
      </c:tx>
      <c:layout/>
      <c:spPr>
        <a:noFill/>
        <a:ln>
          <a:noFill/>
        </a:ln>
        <a:effectLst/>
      </c:spPr>
    </c:title>
    <c:plotArea>
      <c:layout>
        <c:manualLayout>
          <c:layoutTarget val="inner"/>
          <c:xMode val="edge"/>
          <c:yMode val="edge"/>
          <c:x val="8.6270778652668426E-2"/>
          <c:y val="0.18300925925925926"/>
          <c:w val="0.85906255468066484"/>
          <c:h val="0.603688028579761"/>
        </c:manualLayout>
      </c:layout>
      <c:barChart>
        <c:barDir val="bar"/>
        <c:grouping val="stacked"/>
        <c:ser>
          <c:idx val="0"/>
          <c:order val="0"/>
          <c:tx>
            <c:strRef>
              <c:f>Finance!$F$1</c:f>
              <c:strCache>
                <c:ptCount val="1"/>
                <c:pt idx="0">
                  <c:v>Total Expenses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numRef>
              <c:f>Finance!$A$2:$A$10</c:f>
              <c:numCache>
                <c:formatCode>dd/mm/yyyy;@</c:formatCode>
                <c:ptCount val="9"/>
                <c:pt idx="0">
                  <c:v>45688</c:v>
                </c:pt>
                <c:pt idx="1">
                  <c:v>45716</c:v>
                </c:pt>
                <c:pt idx="2">
                  <c:v>45747</c:v>
                </c:pt>
                <c:pt idx="3">
                  <c:v>45777</c:v>
                </c:pt>
                <c:pt idx="4">
                  <c:v>45808</c:v>
                </c:pt>
                <c:pt idx="5">
                  <c:v>45838</c:v>
                </c:pt>
                <c:pt idx="6">
                  <c:v>45869</c:v>
                </c:pt>
                <c:pt idx="7">
                  <c:v>45900</c:v>
                </c:pt>
                <c:pt idx="8">
                  <c:v>45930</c:v>
                </c:pt>
              </c:numCache>
            </c:numRef>
          </c:cat>
          <c:val>
            <c:numRef>
              <c:f>Finance!$F$2:$F$10</c:f>
              <c:numCache>
                <c:formatCode>General</c:formatCode>
                <c:ptCount val="9"/>
                <c:pt idx="0">
                  <c:v>107214</c:v>
                </c:pt>
                <c:pt idx="1">
                  <c:v>141577</c:v>
                </c:pt>
                <c:pt idx="2">
                  <c:v>115775</c:v>
                </c:pt>
                <c:pt idx="3">
                  <c:v>156249</c:v>
                </c:pt>
                <c:pt idx="4">
                  <c:v>107488</c:v>
                </c:pt>
                <c:pt idx="5">
                  <c:v>135802</c:v>
                </c:pt>
                <c:pt idx="6">
                  <c:v>125054</c:v>
                </c:pt>
                <c:pt idx="7">
                  <c:v>146724</c:v>
                </c:pt>
                <c:pt idx="8">
                  <c:v>133838</c:v>
                </c:pt>
              </c:numCache>
            </c:numRef>
          </c:val>
          <c:extLst xmlns:c16r2="http://schemas.microsoft.com/office/drawing/2015/06/chart">
            <c:ext xmlns:c16="http://schemas.microsoft.com/office/drawing/2014/chart" uri="{C3380CC4-5D6E-409C-BE32-E72D297353CC}">
              <c16:uniqueId val="{00000000-765D-44E1-8090-21127AF3DF3F}"/>
            </c:ext>
          </c:extLst>
        </c:ser>
        <c:ser>
          <c:idx val="1"/>
          <c:order val="1"/>
          <c:tx>
            <c:strRef>
              <c:f>Finance!$G$1</c:f>
              <c:strCache>
                <c:ptCount val="1"/>
                <c:pt idx="0">
                  <c:v>Net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numRef>
              <c:f>Finance!$A$2:$A$10</c:f>
              <c:numCache>
                <c:formatCode>dd/mm/yyyy;@</c:formatCode>
                <c:ptCount val="9"/>
                <c:pt idx="0">
                  <c:v>45688</c:v>
                </c:pt>
                <c:pt idx="1">
                  <c:v>45716</c:v>
                </c:pt>
                <c:pt idx="2">
                  <c:v>45747</c:v>
                </c:pt>
                <c:pt idx="3">
                  <c:v>45777</c:v>
                </c:pt>
                <c:pt idx="4">
                  <c:v>45808</c:v>
                </c:pt>
                <c:pt idx="5">
                  <c:v>45838</c:v>
                </c:pt>
                <c:pt idx="6">
                  <c:v>45869</c:v>
                </c:pt>
                <c:pt idx="7">
                  <c:v>45900</c:v>
                </c:pt>
                <c:pt idx="8">
                  <c:v>45930</c:v>
                </c:pt>
              </c:numCache>
            </c:numRef>
          </c:cat>
          <c:val>
            <c:numRef>
              <c:f>Finance!$G$2:$G$10</c:f>
              <c:numCache>
                <c:formatCode>General</c:formatCode>
                <c:ptCount val="9"/>
                <c:pt idx="0">
                  <c:v>-106125.56</c:v>
                </c:pt>
                <c:pt idx="1">
                  <c:v>-131821.9</c:v>
                </c:pt>
                <c:pt idx="2">
                  <c:v>-115933.08</c:v>
                </c:pt>
                <c:pt idx="3">
                  <c:v>-156249</c:v>
                </c:pt>
                <c:pt idx="4">
                  <c:v>-107488</c:v>
                </c:pt>
                <c:pt idx="5">
                  <c:v>-135802</c:v>
                </c:pt>
                <c:pt idx="6">
                  <c:v>-125054</c:v>
                </c:pt>
                <c:pt idx="7">
                  <c:v>-146724</c:v>
                </c:pt>
                <c:pt idx="8">
                  <c:v>-133838</c:v>
                </c:pt>
              </c:numCache>
            </c:numRef>
          </c:val>
          <c:extLst xmlns:c16r2="http://schemas.microsoft.com/office/drawing/2015/06/chart">
            <c:ext xmlns:c16="http://schemas.microsoft.com/office/drawing/2014/chart" uri="{C3380CC4-5D6E-409C-BE32-E72D297353CC}">
              <c16:uniqueId val="{00000001-765D-44E1-8090-21127AF3DF3F}"/>
            </c:ext>
          </c:extLst>
        </c:ser>
        <c:dLbls/>
        <c:overlap val="100"/>
        <c:axId val="102779520"/>
        <c:axId val="102797696"/>
      </c:barChart>
      <c:dateAx>
        <c:axId val="102779520"/>
        <c:scaling>
          <c:orientation val="minMax"/>
        </c:scaling>
        <c:axPos val="l"/>
        <c:numFmt formatCode="dd/mm/yyyy;@" sourceLinked="1"/>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97696"/>
        <c:crosses val="autoZero"/>
        <c:auto val="1"/>
        <c:lblOffset val="100"/>
        <c:baseTimeUnit val="months"/>
      </c:dateAx>
      <c:valAx>
        <c:axId val="102797696"/>
        <c:scaling>
          <c:orientation val="minMax"/>
        </c:scaling>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AMOUNT</a:t>
                </a:r>
                <a:r>
                  <a:rPr lang="en-ZA" baseline="0"/>
                  <a:t> (ZAR)</a:t>
                </a:r>
                <a:endParaRPr lang="en-ZA"/>
              </a:p>
            </c:rich>
          </c:tx>
          <c:layout/>
          <c:spPr>
            <a:noFill/>
            <a:ln>
              <a:noFill/>
            </a:ln>
            <a:effectLst/>
          </c:spPr>
        </c:title>
        <c:numFmt formatCode="General"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79520"/>
        <c:crosses val="autoZero"/>
        <c:crossBetween val="between"/>
      </c:valAx>
      <c:spPr>
        <a:noFill/>
        <a:ln>
          <a:noFill/>
        </a:ln>
        <a:effectLst/>
      </c:spPr>
    </c:plotArea>
    <c:legend>
      <c:legendPos val="r"/>
      <c:layout>
        <c:manualLayout>
          <c:xMode val="edge"/>
          <c:yMode val="edge"/>
          <c:x val="1.8883410511842562E-3"/>
          <c:y val="0.42874349712726084"/>
          <c:w val="0.20215332649737622"/>
          <c:h val="0.14418704473543106"/>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7620</xdr:rowOff>
    </xdr:from>
    <xdr:to>
      <xdr:col>1</xdr:col>
      <xdr:colOff>921144</xdr:colOff>
      <xdr:row>31</xdr:row>
      <xdr:rowOff>79261</xdr:rowOff>
    </xdr:to>
    <mc:AlternateContent xmlns:mc="http://schemas.openxmlformats.org/markup-compatibility/2006">
      <mc:Choice xmlns:a14="http://schemas.microsoft.com/office/drawing/2010/main" xmlns="" Requires="a14">
        <xdr:graphicFrame macro="">
          <xdr:nvGraphicFramePr>
            <xdr:cNvPr id="2" name="Date 2">
              <a:extLst>
                <a:ext uri="{FF2B5EF4-FFF2-40B4-BE49-F238E27FC236}">
                  <a16:creationId xmlns:a16="http://schemas.microsoft.com/office/drawing/2014/main" id="{489F1099-1FEB-4FC7-A748-C7107A03B610}"/>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dr:sp macro="" textlink="">
          <xdr:nvSpPr>
            <xdr:cNvPr id="2" name="Rectangle 1"/>
            <xdr:cNvSpPr>
              <a:spLocks noTextEdit="1"/>
            </xdr:cNvSpPr>
          </xdr:nvSpPr>
          <xdr:spPr>
            <a:xfrm>
              <a:off x="0" y="3614420"/>
              <a:ext cx="1832676" cy="249310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1838075</xdr:colOff>
      <xdr:row>18</xdr:row>
      <xdr:rowOff>5851</xdr:rowOff>
    </xdr:from>
    <xdr:to>
      <xdr:col>2</xdr:col>
      <xdr:colOff>726704</xdr:colOff>
      <xdr:row>31</xdr:row>
      <xdr:rowOff>77492</xdr:rowOff>
    </xdr:to>
    <mc:AlternateContent xmlns:mc="http://schemas.openxmlformats.org/markup-compatibility/2006">
      <mc:Choice xmlns:a14="http://schemas.microsoft.com/office/drawing/2010/main" xmlns="" Requires="a14">
        <xdr:graphicFrame macro="">
          <xdr:nvGraphicFramePr>
            <xdr:cNvPr id="3" name="Category 1">
              <a:extLst>
                <a:ext uri="{FF2B5EF4-FFF2-40B4-BE49-F238E27FC236}">
                  <a16:creationId xmlns:a16="http://schemas.microsoft.com/office/drawing/2014/main" id="{7D09A238-7841-4BDC-A9E4-99CA3B9D2D4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3" name="Rectangle 2"/>
            <xdr:cNvSpPr>
              <a:spLocks noTextEdit="1"/>
            </xdr:cNvSpPr>
          </xdr:nvSpPr>
          <xdr:spPr>
            <a:xfrm>
              <a:off x="1838075" y="3612651"/>
              <a:ext cx="1862580" cy="249310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1356340</xdr:colOff>
      <xdr:row>18</xdr:row>
      <xdr:rowOff>6769</xdr:rowOff>
    </xdr:from>
    <xdr:to>
      <xdr:col>4</xdr:col>
      <xdr:colOff>337736</xdr:colOff>
      <xdr:row>31</xdr:row>
      <xdr:rowOff>122167</xdr:rowOff>
    </xdr:to>
    <mc:AlternateContent xmlns:mc="http://schemas.openxmlformats.org/markup-compatibility/2006">
      <mc:Choice xmlns:a14="http://schemas.microsoft.com/office/drawing/2010/main" xmlns="" Requires="a14">
        <xdr:graphicFrame macro="">
          <xdr:nvGraphicFramePr>
            <xdr:cNvPr id="5" name="Region 1">
              <a:extLst>
                <a:ext uri="{FF2B5EF4-FFF2-40B4-BE49-F238E27FC236}">
                  <a16:creationId xmlns:a16="http://schemas.microsoft.com/office/drawing/2014/main" id="{E9F29262-9972-4A55-AE6D-CD684977C47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4" name="Rectangle 3"/>
            <xdr:cNvSpPr>
              <a:spLocks noTextEdit="1"/>
            </xdr:cNvSpPr>
          </xdr:nvSpPr>
          <xdr:spPr>
            <a:xfrm>
              <a:off x="3693140" y="3613569"/>
              <a:ext cx="1846066" cy="253686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8</xdr:row>
      <xdr:rowOff>7620</xdr:rowOff>
    </xdr:from>
    <xdr:to>
      <xdr:col>10</xdr:col>
      <xdr:colOff>116087</xdr:colOff>
      <xdr:row>15</xdr:row>
      <xdr:rowOff>111991</xdr:rowOff>
    </xdr:to>
    <mc:AlternateContent xmlns:mc="http://schemas.openxmlformats.org/markup-compatibility/2006">
      <mc:Choice xmlns:tsle="http://schemas.microsoft.com/office/drawing/2012/timeslicer" xmlns="" Requires="tsle">
        <xdr:graphicFrame macro="">
          <xdr:nvGraphicFramePr>
            <xdr:cNvPr id="6" name="Date 3">
              <a:extLst>
                <a:ext uri="{FF2B5EF4-FFF2-40B4-BE49-F238E27FC236}">
                  <a16:creationId xmlns:a16="http://schemas.microsoft.com/office/drawing/2014/main" id="{4421A3A5-473B-40A8-8F1B-6D92CDAA9F0A}"/>
                </a:ext>
              </a:extLst>
            </xdr:cNvPr>
            <xdr:cNvGraphicFramePr/>
          </xdr:nvGraphicFramePr>
          <xdr:xfrm>
            <a:off x="0" y="0"/>
            <a:ext cx="0" cy="0"/>
          </xdr:xfrm>
          <a:graphic>
            <a:graphicData uri="http://schemas.microsoft.com/office/drawing/2012/timeslicer">
              <tsle:timeslicer name="Date 3"/>
            </a:graphicData>
          </a:graphic>
        </xdr:graphicFrame>
      </mc:Choice>
      <mc:Fallback>
        <xdr:sp macro="" textlink="">
          <xdr:nvSpPr>
            <xdr:cNvPr id="5" name="Rectangle 4"/>
            <xdr:cNvSpPr>
              <a:spLocks noTextEdit="1"/>
            </xdr:cNvSpPr>
          </xdr:nvSpPr>
          <xdr:spPr>
            <a:xfrm>
              <a:off x="8788400" y="1751753"/>
              <a:ext cx="3316487" cy="1408238"/>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0</xdr:col>
      <xdr:colOff>0</xdr:colOff>
      <xdr:row>33</xdr:row>
      <xdr:rowOff>0</xdr:rowOff>
    </xdr:from>
    <xdr:to>
      <xdr:col>7</xdr:col>
      <xdr:colOff>147492</xdr:colOff>
      <xdr:row>58</xdr:row>
      <xdr:rowOff>128826</xdr:rowOff>
    </xdr:to>
    <xdr:graphicFrame macro="">
      <xdr:nvGraphicFramePr>
        <xdr:cNvPr id="7" name="Chart 6">
          <a:extLst>
            <a:ext uri="{FF2B5EF4-FFF2-40B4-BE49-F238E27FC236}">
              <a16:creationId xmlns:a16="http://schemas.microsoft.com/office/drawing/2014/main" xmlns="" id="{FA3E2ABD-986D-453F-A80F-7199B59A9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522</xdr:colOff>
      <xdr:row>16</xdr:row>
      <xdr:rowOff>183869</xdr:rowOff>
    </xdr:from>
    <xdr:to>
      <xdr:col>10</xdr:col>
      <xdr:colOff>1377357</xdr:colOff>
      <xdr:row>32</xdr:row>
      <xdr:rowOff>39883</xdr:rowOff>
    </xdr:to>
    <mc:AlternateContent xmlns:mc="http://schemas.openxmlformats.org/markup-compatibility/2006">
      <mc:Choice xmlns:cx1="http://schemas.microsoft.com/office/drawing/2015/9/8/chartex" xmlns="" Requires="cx1">
        <xdr:graphicFrame macro="">
          <xdr:nvGraphicFramePr>
            <xdr:cNvPr id="8" name="Chart 7">
              <a:extLst>
                <a:ext uri="{FF2B5EF4-FFF2-40B4-BE49-F238E27FC236}">
                  <a16:creationId xmlns:a16="http://schemas.microsoft.com/office/drawing/2014/main" id="{4D9F407C-1132-47BC-9C1A-8BF6251491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
            </a:graphicData>
          </a:graphic>
        </xdr:graphicFrame>
      </mc:Choice>
      <mc:Fallback>
        <xdr:sp macro="" textlink="">
          <xdr:nvSpPr>
            <xdr:cNvPr id="8" name="Rectangle 7"/>
            <xdr:cNvSpPr>
              <a:spLocks noTextEdit="1"/>
            </xdr:cNvSpPr>
          </xdr:nvSpPr>
          <xdr:spPr>
            <a:xfrm>
              <a:off x="5951742" y="3361409"/>
              <a:ext cx="4592475" cy="2782094"/>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606834</xdr:colOff>
      <xdr:row>32</xdr:row>
      <xdr:rowOff>192036</xdr:rowOff>
    </xdr:from>
    <xdr:to>
      <xdr:col>11</xdr:col>
      <xdr:colOff>215080</xdr:colOff>
      <xdr:row>51</xdr:row>
      <xdr:rowOff>107540</xdr:rowOff>
    </xdr:to>
    <xdr:graphicFrame macro="">
      <xdr:nvGraphicFramePr>
        <xdr:cNvPr id="6" name="Chart 3">
          <a:extLst>
            <a:ext uri="{FF2B5EF4-FFF2-40B4-BE49-F238E27FC236}">
              <a16:creationId xmlns:a16="http://schemas.microsoft.com/office/drawing/2014/main" xmlns="" id="{1847FB8E-195B-42BA-860F-1BBAFE981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4</xdr:col>
      <xdr:colOff>351510</xdr:colOff>
      <xdr:row>22</xdr:row>
      <xdr:rowOff>47625</xdr:rowOff>
    </xdr:to>
    <mc:AlternateContent xmlns:mc="http://schemas.openxmlformats.org/markup-compatibility/2006">
      <mc:Choice xmlns:a14="http://schemas.microsoft.com/office/drawing/2010/main" xmlns="" Requires="a14">
        <xdr:graphicFrame macro="">
          <xdr:nvGraphicFramePr>
            <xdr:cNvPr id="2" name="Date">
              <a:extLst>
                <a:ext uri="{FF2B5EF4-FFF2-40B4-BE49-F238E27FC236}">
                  <a16:creationId xmlns:a16="http://schemas.microsoft.com/office/drawing/2014/main" id="{3EBE4C19-F03B-9569-F042-1D6A2A4CB35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2" name="Rectangle 1"/>
            <xdr:cNvSpPr>
              <a:spLocks noTextEdit="1"/>
            </xdr:cNvSpPr>
          </xdr:nvSpPr>
          <xdr:spPr>
            <a:xfrm>
              <a:off x="1969325" y="1603169"/>
              <a:ext cx="1833451" cy="236331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9525</xdr:rowOff>
    </xdr:from>
    <xdr:to>
      <xdr:col>1</xdr:col>
      <xdr:colOff>898236</xdr:colOff>
      <xdr:row>36</xdr:row>
      <xdr:rowOff>57150</xdr:rowOff>
    </xdr:to>
    <mc:AlternateContent xmlns:mc="http://schemas.openxmlformats.org/markup-compatibility/2006">
      <mc:Choice xmlns:a14="http://schemas.microsoft.com/office/drawing/2010/main" xmlns="" Requires="a14">
        <xdr:graphicFrame macro="">
          <xdr:nvGraphicFramePr>
            <xdr:cNvPr id="3" name="Category">
              <a:extLst>
                <a:ext uri="{FF2B5EF4-FFF2-40B4-BE49-F238E27FC236}">
                  <a16:creationId xmlns:a16="http://schemas.microsoft.com/office/drawing/2014/main" id="{703BAEFC-F5E3-E4E2-3E4E-3171B7A5E0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3" name="Rectangle 2"/>
            <xdr:cNvSpPr>
              <a:spLocks noTextEdit="1"/>
            </xdr:cNvSpPr>
          </xdr:nvSpPr>
          <xdr:spPr>
            <a:xfrm>
              <a:off x="0" y="4106512"/>
              <a:ext cx="1848262" cy="236331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13335</xdr:rowOff>
    </xdr:from>
    <xdr:to>
      <xdr:col>1</xdr:col>
      <xdr:colOff>898236</xdr:colOff>
      <xdr:row>22</xdr:row>
      <xdr:rowOff>60960</xdr:rowOff>
    </xdr:to>
    <mc:AlternateContent xmlns:mc="http://schemas.openxmlformats.org/markup-compatibility/2006">
      <mc:Choice xmlns:a14="http://schemas.microsoft.com/office/drawing/2010/main" xmlns="" Requires="a14">
        <xdr:graphicFrame macro="">
          <xdr:nvGraphicFramePr>
            <xdr:cNvPr id="4" name="Customer Classification">
              <a:extLst>
                <a:ext uri="{FF2B5EF4-FFF2-40B4-BE49-F238E27FC236}">
                  <a16:creationId xmlns:a16="http://schemas.microsoft.com/office/drawing/2014/main" id="{7E0D067D-E396-7530-F8CB-160337D0584D}"/>
                </a:ext>
              </a:extLst>
            </xdr:cNvPr>
            <xdr:cNvGraphicFramePr/>
          </xdr:nvGraphicFramePr>
          <xdr:xfrm>
            <a:off x="0" y="0"/>
            <a:ext cx="0" cy="0"/>
          </xdr:xfrm>
          <a:graphic>
            <a:graphicData uri="http://schemas.microsoft.com/office/drawing/2010/slicer">
              <sle:slicer xmlns:sle="http://schemas.microsoft.com/office/drawing/2010/slicer" name="Customer Classification"/>
            </a:graphicData>
          </a:graphic>
        </xdr:graphicFrame>
      </mc:Choice>
      <mc:Fallback>
        <xdr:sp macro="" textlink="">
          <xdr:nvSpPr>
            <xdr:cNvPr id="4" name="Rectangle 3"/>
            <xdr:cNvSpPr>
              <a:spLocks noTextEdit="1"/>
            </xdr:cNvSpPr>
          </xdr:nvSpPr>
          <xdr:spPr>
            <a:xfrm>
              <a:off x="0" y="1616504"/>
              <a:ext cx="1848262" cy="236331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15834</xdr:colOff>
      <xdr:row>23</xdr:row>
      <xdr:rowOff>7026</xdr:rowOff>
    </xdr:from>
    <xdr:to>
      <xdr:col>4</xdr:col>
      <xdr:colOff>359197</xdr:colOff>
      <xdr:row>36</xdr:row>
      <xdr:rowOff>91811</xdr:rowOff>
    </xdr:to>
    <mc:AlternateContent xmlns:mc="http://schemas.openxmlformats.org/markup-compatibility/2006">
      <mc:Choice xmlns:a14="http://schemas.microsoft.com/office/drawing/2010/main" xmlns="" Requires="a14">
        <xdr:graphicFrame macro="">
          <xdr:nvGraphicFramePr>
            <xdr:cNvPr id="5" name="Region">
              <a:extLst>
                <a:ext uri="{FF2B5EF4-FFF2-40B4-BE49-F238E27FC236}">
                  <a16:creationId xmlns:a16="http://schemas.microsoft.com/office/drawing/2014/main" id="{05E15CA7-CA02-3A7B-9D7D-1DD8FBF96E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5" name="Rectangle 4"/>
            <xdr:cNvSpPr>
              <a:spLocks noTextEdit="1"/>
            </xdr:cNvSpPr>
          </xdr:nvSpPr>
          <xdr:spPr>
            <a:xfrm>
              <a:off x="1985159" y="4104013"/>
              <a:ext cx="1825304" cy="240047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0.276081481483" createdVersion="8" refreshedVersion="8" minRefreshableVersion="3" recordCount="90">
  <cacheSource type="worksheet">
    <worksheetSource ref="A1:X91" sheet="Sales_All"/>
  </cacheSource>
  <cacheFields count="25">
    <cacheField name="OrderID" numFmtId="0">
      <sharedItems/>
    </cacheField>
    <cacheField name="Date" numFmtId="164">
      <sharedItems containsSemiMixedTypes="0" containsNonDate="0" containsDate="1" containsString="0" minDate="2025-01-03T04:18:37" maxDate="2025-09-26T13:57:30" count="90">
        <d v="2025-02-20T00:39:01"/>
        <d v="2025-02-24T05:40:59"/>
        <d v="2025-03-20T06:26:20"/>
        <d v="2025-02-15T13:42:32"/>
        <d v="2025-01-06T16:27:43"/>
        <d v="2025-02-28T05:26:33"/>
        <d v="2025-03-19T02:47:39"/>
        <d v="2025-02-19T09:27:33"/>
        <d v="2025-01-14T11:55:59"/>
        <d v="2025-03-27T04:51:12"/>
        <d v="2025-01-27T22:17:52"/>
        <d v="2025-01-05T18:57:05"/>
        <d v="2025-02-05T11:02:36"/>
        <d v="2025-03-01T06:05:59"/>
        <d v="2025-01-15T01:44:38"/>
        <d v="2025-03-26T20:57:22"/>
        <d v="2025-01-31T05:07:32"/>
        <d v="2025-03-02T22:23:58"/>
        <d v="2025-02-08T10:50:13"/>
        <d v="2025-03-22T19:35:46"/>
        <d v="2025-02-25T05:04:20"/>
        <d v="2025-03-07T23:28:11"/>
        <d v="2025-01-05T15:34:20"/>
        <d v="2025-02-27T21:04:42"/>
        <d v="2025-02-22T18:31:56"/>
        <d v="2025-01-03T04:18:37"/>
        <d v="2025-03-02T04:31:10"/>
        <d v="2025-01-28T02:57:54"/>
        <d v="2025-03-06T02:03:03"/>
        <d v="2025-01-09T15:03:51"/>
        <d v="2025-04-23T06:31:04"/>
        <d v="2025-06-13T23:38:55"/>
        <d v="2025-04-27T14:59:57"/>
        <d v="2025-05-12T11:25:10"/>
        <d v="2025-04-24T02:44:59"/>
        <d v="2025-06-25T22:21:06"/>
        <d v="2025-04-19T14:18:51"/>
        <d v="2025-04-23T04:00:40"/>
        <d v="2025-04-12T03:09:59"/>
        <d v="2025-04-13T18:14:58"/>
        <d v="2025-04-07T10:51:29"/>
        <d v="2025-06-15T17:46:07"/>
        <d v="2025-06-19T09:22:19"/>
        <d v="2025-04-07T11:30:29"/>
        <d v="2025-05-11T06:16:15"/>
        <d v="2025-05-12T02:06:55"/>
        <d v="2025-05-10T19:31:43"/>
        <d v="2025-05-30T18:22:18"/>
        <d v="2025-04-02T23:49:16"/>
        <d v="2025-06-08T20:48:39"/>
        <d v="2025-06-27T20:38:27"/>
        <d v="2025-04-26T13:34:30"/>
        <d v="2025-05-13T17:23:54"/>
        <d v="2025-05-13T01:27:07"/>
        <d v="2025-05-20T22:05:39"/>
        <d v="2025-04-09T21:25:59"/>
        <d v="2025-05-05T01:55:50"/>
        <d v="2025-04-23T20:24:10"/>
        <d v="2025-06-03T21:35:29"/>
        <d v="2025-04-05T18:47:22"/>
        <d v="2025-07-01T19:52:10"/>
        <d v="2025-07-21T11:59:20"/>
        <d v="2025-08-25T12:07:21"/>
        <d v="2025-07-06T05:37:07"/>
        <d v="2025-07-12T16:09:44"/>
        <d v="2025-08-22T18:59:12"/>
        <d v="2025-08-17T07:43:17"/>
        <d v="2025-07-19T08:02:05"/>
        <d v="2025-09-14T07:32:35"/>
        <d v="2025-09-26T13:57:30"/>
        <d v="2025-08-28T03:43:39"/>
        <d v="2025-07-30T02:18:33"/>
        <d v="2025-09-16T22:58:49"/>
        <d v="2025-07-11T12:28:58"/>
        <d v="2025-08-04T02:22:47"/>
        <d v="2025-09-26T05:20:38"/>
        <d v="2025-09-06T10:37:20"/>
        <d v="2025-09-11T18:57:24"/>
        <d v="2025-07-29T19:10:36"/>
        <d v="2025-08-11T16:50:37"/>
        <d v="2025-09-26T05:54:47"/>
        <d v="2025-07-03T08:25:50"/>
        <d v="2025-08-05T02:56:56"/>
        <d v="2025-08-06T10:48:58"/>
        <d v="2025-08-26T20:17:21"/>
        <d v="2025-07-20T08:37:46"/>
        <d v="2025-07-24T13:05:26"/>
        <d v="2025-07-23T06:59:14"/>
        <d v="2025-08-20T15:47:14"/>
        <d v="2025-08-29T06:12:15"/>
      </sharedItems>
    </cacheField>
    <cacheField name="Region" numFmtId="0">
      <sharedItems count="4">
        <s v="South"/>
        <s v="West"/>
        <s v="East"/>
        <s v="North"/>
      </sharedItems>
    </cacheField>
    <cacheField name="CustomerID" numFmtId="0">
      <sharedItems containsSemiMixedTypes="0" containsString="0" containsNumber="1" containsInteger="1" minValue="1001" maxValue="1020" count="20">
        <n v="1018"/>
        <n v="1004"/>
        <n v="1005"/>
        <n v="1012"/>
        <n v="1013"/>
        <n v="1017"/>
        <n v="1014"/>
        <n v="1020"/>
        <n v="1010"/>
        <n v="1019"/>
        <n v="1016"/>
        <n v="1001"/>
        <n v="1003"/>
        <n v="1008"/>
        <n v="1009"/>
        <n v="1006"/>
        <n v="1007"/>
        <n v="1011"/>
        <n v="1015"/>
        <n v="1002"/>
      </sharedItems>
    </cacheField>
    <cacheField name="Product" numFmtId="0">
      <sharedItems count="6">
        <s v="Tablet"/>
        <s v="Headphones"/>
        <s v="Monitor"/>
        <s v="Smartphone"/>
        <s v="Laptop"/>
        <s v="Printer"/>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109" maxValue="1987"/>
    </cacheField>
    <cacheField name="Category" numFmtId="0">
      <sharedItems containsBlank="1" count="3">
        <s v="Electronics"/>
        <s v="Accessories"/>
        <m/>
      </sharedItems>
    </cacheField>
    <cacheField name="UnitPrice2" numFmtId="0">
      <sharedItems containsString="0" containsBlank="1" containsNumber="1" containsInteger="1" minValue="106" maxValue="1613"/>
    </cacheField>
    <cacheField name="UnitCost" numFmtId="0">
      <sharedItems containsString="0" containsBlank="1" containsNumber="1" containsInteger="1" minValue="97" maxValue="492"/>
    </cacheField>
    <cacheField name="Discount" numFmtId="0">
      <sharedItems containsString="0" containsBlank="1" containsNumber="1" minValue="0.08" maxValue="0.23"/>
    </cacheField>
    <cacheField name="Gross Profit" numFmtId="0">
      <sharedItems containsString="0" containsBlank="1" containsNumber="1" minValue="-682.8" maxValue="9542.7200000000012"/>
    </cacheField>
    <cacheField name="Delivery Days" numFmtId="0">
      <sharedItems containsSemiMixedTypes="0" containsString="0" containsNumber="1" containsInteger="1" minValue="1" maxValue="9"/>
    </cacheField>
    <cacheField name="Return Rate" numFmtId="9">
      <sharedItems containsSemiMixedTypes="0" containsString="0" containsNumber="1" minValue="0" maxValue="0.1"/>
    </cacheField>
    <cacheField name="Order Efficiency" numFmtId="0">
      <sharedItems/>
    </cacheField>
    <cacheField name="Revenue" numFmtId="0">
      <sharedItems containsSemiMixedTypes="0" containsString="0" containsNumber="1" containsInteger="1" minValue="218" maxValue="17784"/>
    </cacheField>
    <cacheField name="Discounted Revenue" numFmtId="0">
      <sharedItems containsSemiMixedTypes="0" containsString="0" containsNumber="1" minValue="218" maxValue="17784"/>
    </cacheField>
    <cacheField name="Profit" numFmtId="0">
      <sharedItems containsSemiMixedTypes="0" containsString="0" containsNumber="1" containsInteger="1" minValue="-150352" maxValue="16137"/>
    </cacheField>
    <cacheField name="Customer Classification" numFmtId="0">
      <sharedItems count="1">
        <s v="Low Value"/>
      </sharedItems>
    </cacheField>
    <cacheField name="Product_Categories" numFmtId="0">
      <sharedItems containsBlank="1"/>
    </cacheField>
    <cacheField name="Region2" numFmtId="0">
      <sharedItems containsBlank="1"/>
    </cacheField>
    <cacheField name="Order Count" numFmtId="0">
      <sharedItems containsString="0" containsBlank="1" containsNumber="1" containsInteger="1" minValue="0" maxValue="0"/>
    </cacheField>
    <cacheField name="Avg Delivery Days" numFmtId="0">
      <sharedItems containsBlank="1"/>
    </cacheField>
    <cacheField name="Unique customer purchase" numFmtId="0">
      <sharedItems/>
    </cacheField>
    <cacheField name="Profit Margin %" numFmtId="0" formula="Profit/Revenue" databaseField="0"/>
  </cacheFields>
  <extLst>
    <ext xmlns:x14="http://schemas.microsoft.com/office/spreadsheetml/2009/9/main" uri="{725AE2AE-9491-48be-B2B4-4EB974FC3084}">
      <x14:pivotCacheDefinition pivotCacheId="1986687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Q1-001"/>
    <x v="0"/>
    <x v="0"/>
    <x v="0"/>
    <x v="0"/>
    <n v="1"/>
    <n v="730"/>
    <x v="0"/>
    <n v="1613"/>
    <n v="492"/>
    <n v="0.14000000000000001"/>
    <n v="895.18000000000006"/>
    <n v="5"/>
    <n v="0.01"/>
    <s v="High Efficiency"/>
    <n v="730"/>
    <n v="728.97800000000007"/>
    <n v="-105993"/>
    <x v="0"/>
    <s v="Headphones"/>
    <s v="South"/>
    <n v="0"/>
    <e v="#DIV/0!"/>
    <s v="Tablet, Smartphone, Headphones, Monitor, Laptop"/>
  </r>
  <r>
    <s v="Q1-002"/>
    <x v="1"/>
    <x v="0"/>
    <x v="1"/>
    <x v="1"/>
    <n v="3"/>
    <n v="378"/>
    <x v="1"/>
    <n v="106"/>
    <n v="323"/>
    <n v="0.1"/>
    <n v="-682.8"/>
    <n v="2"/>
    <n v="0.03"/>
    <s v="High Efficiency"/>
    <n v="1134"/>
    <n v="1132.866"/>
    <n v="-140123"/>
    <x v="0"/>
    <m/>
    <s v="West"/>
    <n v="0"/>
    <m/>
    <s v="Headphones, Printer, Laptop"/>
  </r>
  <r>
    <s v="Q1-003"/>
    <x v="2"/>
    <x v="1"/>
    <x v="2"/>
    <x v="2"/>
    <n v="1"/>
    <n v="585"/>
    <x v="0"/>
    <n v="396"/>
    <n v="463"/>
    <n v="0.23"/>
    <n v="-158.07999999999998"/>
    <n v="6"/>
    <n v="0.05"/>
    <s v="Low Efficiency"/>
    <n v="585"/>
    <n v="583.65449999999998"/>
    <n v="-114728"/>
    <x v="0"/>
    <m/>
    <s v="East"/>
    <n v="0"/>
    <m/>
    <s v="Monitor, Printer, Tablet"/>
  </r>
  <r>
    <s v="Q1-004"/>
    <x v="3"/>
    <x v="2"/>
    <x v="0"/>
    <x v="3"/>
    <n v="8"/>
    <n v="726"/>
    <x v="0"/>
    <n v="1402"/>
    <n v="97"/>
    <n v="0.08"/>
    <n v="9542.7200000000012"/>
    <n v="4"/>
    <n v="7.0000000000000007E-2"/>
    <s v="Low Efficiency"/>
    <n v="5808"/>
    <n v="5803.3535999999995"/>
    <n v="-150352"/>
    <x v="0"/>
    <m/>
    <s v="North"/>
    <n v="0"/>
    <m/>
    <s v="Tablet, Smartphone, Headphones, Monitor, Laptop"/>
  </r>
  <r>
    <s v="Q1-005"/>
    <x v="4"/>
    <x v="3"/>
    <x v="3"/>
    <x v="4"/>
    <n v="2"/>
    <n v="709"/>
    <x v="0"/>
    <n v="1299"/>
    <n v="469"/>
    <n v="0.22"/>
    <n v="1088.44"/>
    <n v="5"/>
    <n v="0.03"/>
    <s v="High Efficiency"/>
    <n v="1418"/>
    <n v="1414.8804"/>
    <n v="-105603"/>
    <x v="0"/>
    <m/>
    <m/>
    <m/>
    <m/>
    <s v="Laptop, Headphones, Printer, Monitor"/>
  </r>
  <r>
    <s v="Q1-006"/>
    <x v="5"/>
    <x v="2"/>
    <x v="4"/>
    <x v="4"/>
    <n v="8"/>
    <n v="1817"/>
    <x v="0"/>
    <n v="1299"/>
    <n v="469"/>
    <n v="0.22"/>
    <n v="4353.76"/>
    <n v="5"/>
    <n v="0.06"/>
    <s v="Low Efficiency"/>
    <n v="14536"/>
    <n v="14504.0208"/>
    <n v="-120805"/>
    <x v="0"/>
    <m/>
    <m/>
    <m/>
    <m/>
    <s v="Laptop, Printer"/>
  </r>
  <r>
    <s v="Q1-007"/>
    <x v="6"/>
    <x v="0"/>
    <x v="5"/>
    <x v="0"/>
    <n v="9"/>
    <n v="1976"/>
    <x v="2"/>
    <m/>
    <m/>
    <m/>
    <m/>
    <n v="4"/>
    <n v="0.02"/>
    <s v="High Efficiency"/>
    <n v="17784"/>
    <n v="17784"/>
    <n v="-107279"/>
    <x v="0"/>
    <m/>
    <m/>
    <m/>
    <m/>
    <s v="Tablet, Laptop, Printer, Smartphone"/>
  </r>
  <r>
    <s v="Q1-008"/>
    <x v="7"/>
    <x v="0"/>
    <x v="6"/>
    <x v="0"/>
    <n v="5"/>
    <n v="1134"/>
    <x v="2"/>
    <m/>
    <m/>
    <m/>
    <m/>
    <n v="8"/>
    <n v="7.0000000000000007E-2"/>
    <s v="Low Efficiency"/>
    <n v="5670"/>
    <n v="5670"/>
    <n v="-141059"/>
    <x v="0"/>
    <m/>
    <m/>
    <m/>
    <m/>
    <s v="Tablet, Monitor, Headphones"/>
  </r>
  <r>
    <s v="Q1-009"/>
    <x v="8"/>
    <x v="0"/>
    <x v="7"/>
    <x v="5"/>
    <n v="1"/>
    <n v="1220"/>
    <x v="2"/>
    <m/>
    <m/>
    <m/>
    <m/>
    <n v="2"/>
    <n v="0.08"/>
    <s v="Low Efficiency"/>
    <n v="1220"/>
    <n v="1220"/>
    <n v="-132619"/>
    <x v="0"/>
    <m/>
    <m/>
    <m/>
    <m/>
    <s v="Printer, Headphones, Laptop"/>
  </r>
  <r>
    <s v="Q1-010"/>
    <x v="9"/>
    <x v="1"/>
    <x v="8"/>
    <x v="1"/>
    <n v="2"/>
    <n v="283"/>
    <x v="2"/>
    <m/>
    <m/>
    <m/>
    <m/>
    <n v="2"/>
    <n v="0.08"/>
    <s v="Low Efficiency"/>
    <n v="566"/>
    <n v="566"/>
    <n v="564"/>
    <x v="0"/>
    <m/>
    <m/>
    <m/>
    <m/>
    <s v="Headphones, Smartphone, Monitor, Printer"/>
  </r>
  <r>
    <s v="Q1-011"/>
    <x v="10"/>
    <x v="1"/>
    <x v="9"/>
    <x v="4"/>
    <n v="9"/>
    <n v="417"/>
    <x v="2"/>
    <m/>
    <m/>
    <m/>
    <m/>
    <n v="8"/>
    <n v="0.06"/>
    <s v="Low Efficiency"/>
    <n v="3753"/>
    <n v="3753"/>
    <n v="3744"/>
    <x v="0"/>
    <m/>
    <m/>
    <m/>
    <m/>
    <s v="Laptop, Headphones, Tablet, Monitor"/>
  </r>
  <r>
    <s v="Q1-012"/>
    <x v="11"/>
    <x v="0"/>
    <x v="10"/>
    <x v="4"/>
    <n v="3"/>
    <n v="1692"/>
    <x v="2"/>
    <m/>
    <m/>
    <m/>
    <m/>
    <n v="8"/>
    <n v="0.03"/>
    <s v="Low Efficiency"/>
    <n v="5076"/>
    <n v="5076"/>
    <n v="5073"/>
    <x v="0"/>
    <m/>
    <m/>
    <m/>
    <m/>
    <s v="Laptop, Monitor, Tablet"/>
  </r>
  <r>
    <s v="Q1-013"/>
    <x v="12"/>
    <x v="2"/>
    <x v="11"/>
    <x v="5"/>
    <n v="4"/>
    <n v="1853"/>
    <x v="2"/>
    <m/>
    <m/>
    <m/>
    <m/>
    <n v="1"/>
    <n v="7.0000000000000007E-2"/>
    <s v="Low Efficiency"/>
    <n v="7412"/>
    <n v="7412"/>
    <n v="7408"/>
    <x v="0"/>
    <m/>
    <m/>
    <m/>
    <m/>
    <s v="Printer, Monitor, Smartphone, Headphones, Laptop"/>
  </r>
  <r>
    <s v="Q1-014"/>
    <x v="13"/>
    <x v="0"/>
    <x v="2"/>
    <x v="5"/>
    <n v="2"/>
    <n v="505"/>
    <x v="2"/>
    <m/>
    <m/>
    <m/>
    <m/>
    <n v="3"/>
    <n v="0.09"/>
    <s v="Low Efficiency"/>
    <n v="1010"/>
    <n v="1010"/>
    <n v="1008"/>
    <x v="0"/>
    <m/>
    <m/>
    <m/>
    <m/>
    <s v="Monitor, Printer, Tablet"/>
  </r>
  <r>
    <s v="Q1-015"/>
    <x v="14"/>
    <x v="0"/>
    <x v="10"/>
    <x v="2"/>
    <n v="3"/>
    <n v="1355"/>
    <x v="2"/>
    <m/>
    <m/>
    <m/>
    <m/>
    <n v="4"/>
    <n v="0.06"/>
    <s v="Low Efficiency"/>
    <n v="4065"/>
    <n v="4065"/>
    <n v="4062"/>
    <x v="0"/>
    <m/>
    <m/>
    <m/>
    <m/>
    <s v="Laptop, Monitor, Tablet"/>
  </r>
  <r>
    <s v="Q1-016"/>
    <x v="15"/>
    <x v="3"/>
    <x v="12"/>
    <x v="5"/>
    <n v="8"/>
    <n v="1220"/>
    <x v="2"/>
    <m/>
    <m/>
    <m/>
    <m/>
    <n v="3"/>
    <n v="0.1"/>
    <s v="Low Efficiency"/>
    <n v="9760"/>
    <n v="9760"/>
    <n v="9752"/>
    <x v="0"/>
    <m/>
    <m/>
    <m/>
    <m/>
    <s v="Printer, Monitor, Headphones"/>
  </r>
  <r>
    <s v="Q1-017"/>
    <x v="16"/>
    <x v="3"/>
    <x v="13"/>
    <x v="3"/>
    <n v="3"/>
    <n v="605"/>
    <x v="2"/>
    <m/>
    <m/>
    <m/>
    <m/>
    <n v="6"/>
    <n v="0.1"/>
    <s v="Low Efficiency"/>
    <n v="1815"/>
    <n v="1815"/>
    <n v="1812"/>
    <x v="0"/>
    <m/>
    <m/>
    <m/>
    <m/>
    <s v="Smartphone, Headphones, Laptop"/>
  </r>
  <r>
    <s v="Q1-018"/>
    <x v="17"/>
    <x v="0"/>
    <x v="14"/>
    <x v="2"/>
    <n v="7"/>
    <n v="1149"/>
    <x v="2"/>
    <m/>
    <m/>
    <m/>
    <m/>
    <n v="9"/>
    <n v="0.02"/>
    <s v="Low Efficiency"/>
    <n v="8043"/>
    <n v="8043"/>
    <n v="8036"/>
    <x v="0"/>
    <m/>
    <m/>
    <m/>
    <m/>
    <s v="Monitor, Headphones, Smartphone, Laptop, Printer"/>
  </r>
  <r>
    <s v="Q1-019"/>
    <x v="18"/>
    <x v="3"/>
    <x v="8"/>
    <x v="1"/>
    <n v="1"/>
    <n v="1621"/>
    <x v="2"/>
    <m/>
    <m/>
    <m/>
    <m/>
    <n v="2"/>
    <n v="0"/>
    <s v="High Efficiency"/>
    <n v="1621"/>
    <n v="1621"/>
    <n v="1620"/>
    <x v="0"/>
    <m/>
    <m/>
    <m/>
    <m/>
    <s v="Headphones, Smartphone, Monitor, Printer"/>
  </r>
  <r>
    <s v="Q1-020"/>
    <x v="19"/>
    <x v="3"/>
    <x v="1"/>
    <x v="5"/>
    <n v="3"/>
    <n v="1010"/>
    <x v="2"/>
    <m/>
    <m/>
    <m/>
    <m/>
    <n v="1"/>
    <n v="0.02"/>
    <s v="High Efficiency"/>
    <n v="3030"/>
    <n v="3030"/>
    <n v="3027"/>
    <x v="0"/>
    <m/>
    <m/>
    <m/>
    <m/>
    <s v="Headphones, Printer, Laptop"/>
  </r>
  <r>
    <s v="Q1-021"/>
    <x v="20"/>
    <x v="0"/>
    <x v="13"/>
    <x v="1"/>
    <n v="7"/>
    <n v="241"/>
    <x v="2"/>
    <m/>
    <m/>
    <m/>
    <m/>
    <n v="8"/>
    <n v="0.09"/>
    <s v="Low Efficiency"/>
    <n v="1687"/>
    <n v="1687"/>
    <n v="1680"/>
    <x v="0"/>
    <m/>
    <m/>
    <m/>
    <m/>
    <s v="Smartphone, Headphones, Laptop"/>
  </r>
  <r>
    <s v="Q1-022"/>
    <x v="21"/>
    <x v="1"/>
    <x v="2"/>
    <x v="5"/>
    <n v="7"/>
    <n v="1336"/>
    <x v="2"/>
    <m/>
    <m/>
    <m/>
    <m/>
    <n v="7"/>
    <n v="0.1"/>
    <s v="Low Efficiency"/>
    <n v="9352"/>
    <n v="9352"/>
    <n v="9345"/>
    <x v="0"/>
    <m/>
    <m/>
    <m/>
    <m/>
    <s v="Monitor, Printer, Tablet"/>
  </r>
  <r>
    <s v="Q1-023"/>
    <x v="22"/>
    <x v="1"/>
    <x v="15"/>
    <x v="4"/>
    <n v="3"/>
    <n v="1752"/>
    <x v="2"/>
    <m/>
    <m/>
    <m/>
    <m/>
    <n v="3"/>
    <n v="0.02"/>
    <s v="High Efficiency"/>
    <n v="5256"/>
    <n v="5256"/>
    <n v="5253"/>
    <x v="0"/>
    <m/>
    <m/>
    <m/>
    <m/>
    <s v="Laptop, Headphones, Monitor"/>
  </r>
  <r>
    <s v="Q1-024"/>
    <x v="23"/>
    <x v="2"/>
    <x v="7"/>
    <x v="1"/>
    <n v="8"/>
    <n v="911"/>
    <x v="2"/>
    <m/>
    <m/>
    <m/>
    <m/>
    <n v="1"/>
    <n v="0.04"/>
    <s v="High Efficiency"/>
    <n v="7288"/>
    <n v="7288"/>
    <n v="7280"/>
    <x v="0"/>
    <m/>
    <m/>
    <m/>
    <m/>
    <s v="Printer, Headphones, Laptop"/>
  </r>
  <r>
    <s v="Q1-025"/>
    <x v="24"/>
    <x v="0"/>
    <x v="16"/>
    <x v="2"/>
    <n v="8"/>
    <n v="1770"/>
    <x v="2"/>
    <m/>
    <m/>
    <m/>
    <m/>
    <n v="9"/>
    <n v="0.05"/>
    <s v="Low Efficiency"/>
    <n v="14160"/>
    <n v="14160"/>
    <n v="14152"/>
    <x v="0"/>
    <m/>
    <m/>
    <m/>
    <m/>
    <s v="Monitor, Laptop, Smartphone"/>
  </r>
  <r>
    <s v="Q1-026"/>
    <x v="25"/>
    <x v="3"/>
    <x v="14"/>
    <x v="1"/>
    <n v="1"/>
    <n v="1841"/>
    <x v="2"/>
    <m/>
    <m/>
    <m/>
    <m/>
    <n v="3"/>
    <n v="0.03"/>
    <s v="High Efficiency"/>
    <n v="1841"/>
    <n v="1841"/>
    <n v="1840"/>
    <x v="0"/>
    <m/>
    <m/>
    <m/>
    <m/>
    <s v="Monitor, Headphones, Smartphone, Laptop, Printer"/>
  </r>
  <r>
    <s v="Q1-027"/>
    <x v="26"/>
    <x v="2"/>
    <x v="11"/>
    <x v="2"/>
    <n v="7"/>
    <n v="796"/>
    <x v="2"/>
    <m/>
    <m/>
    <m/>
    <m/>
    <n v="6"/>
    <n v="0.05"/>
    <s v="Low Efficiency"/>
    <n v="5572"/>
    <n v="5572"/>
    <n v="5565"/>
    <x v="0"/>
    <m/>
    <m/>
    <m/>
    <m/>
    <s v="Printer, Monitor, Smartphone, Headphones, Laptop"/>
  </r>
  <r>
    <s v="Q1-028"/>
    <x v="27"/>
    <x v="1"/>
    <x v="12"/>
    <x v="2"/>
    <n v="6"/>
    <n v="1011"/>
    <x v="2"/>
    <m/>
    <m/>
    <m/>
    <m/>
    <n v="2"/>
    <n v="7.0000000000000007E-2"/>
    <s v="Low Efficiency"/>
    <n v="6066"/>
    <n v="6066"/>
    <n v="6060"/>
    <x v="0"/>
    <m/>
    <m/>
    <m/>
    <m/>
    <s v="Printer, Monitor, Headphones"/>
  </r>
  <r>
    <s v="Q1-029"/>
    <x v="28"/>
    <x v="1"/>
    <x v="17"/>
    <x v="5"/>
    <n v="2"/>
    <n v="1660"/>
    <x v="2"/>
    <m/>
    <m/>
    <m/>
    <m/>
    <n v="9"/>
    <n v="0.05"/>
    <s v="Low Efficiency"/>
    <n v="3320"/>
    <n v="3320"/>
    <n v="3318"/>
    <x v="0"/>
    <m/>
    <m/>
    <m/>
    <m/>
    <s v="Printer, Headphones, Tablet"/>
  </r>
  <r>
    <s v="Q1-030"/>
    <x v="29"/>
    <x v="2"/>
    <x v="10"/>
    <x v="2"/>
    <n v="5"/>
    <n v="1119"/>
    <x v="2"/>
    <m/>
    <m/>
    <m/>
    <m/>
    <n v="2"/>
    <n v="7.0000000000000007E-2"/>
    <s v="Low Efficiency"/>
    <n v="5595"/>
    <n v="5595"/>
    <n v="5590"/>
    <x v="0"/>
    <m/>
    <m/>
    <m/>
    <m/>
    <s v="Laptop, Monitor, Tablet"/>
  </r>
  <r>
    <s v="Q2-001"/>
    <x v="30"/>
    <x v="3"/>
    <x v="10"/>
    <x v="0"/>
    <n v="7"/>
    <n v="1039"/>
    <x v="2"/>
    <m/>
    <m/>
    <m/>
    <m/>
    <n v="6"/>
    <n v="0.05"/>
    <s v="Low Efficiency"/>
    <n v="7273"/>
    <n v="7273"/>
    <n v="7266"/>
    <x v="0"/>
    <m/>
    <m/>
    <m/>
    <m/>
    <s v="Laptop, Monitor, Tablet"/>
  </r>
  <r>
    <s v="Q2-002"/>
    <x v="31"/>
    <x v="1"/>
    <x v="8"/>
    <x v="3"/>
    <n v="2"/>
    <n v="809"/>
    <x v="2"/>
    <m/>
    <m/>
    <m/>
    <m/>
    <n v="5"/>
    <n v="0"/>
    <s v="High Efficiency"/>
    <n v="1618"/>
    <n v="1618"/>
    <n v="1616"/>
    <x v="0"/>
    <m/>
    <m/>
    <m/>
    <m/>
    <s v="Headphones, Smartphone, Monitor, Printer"/>
  </r>
  <r>
    <s v="Q2-003"/>
    <x v="32"/>
    <x v="1"/>
    <x v="6"/>
    <x v="2"/>
    <n v="5"/>
    <n v="1951"/>
    <x v="2"/>
    <m/>
    <m/>
    <m/>
    <m/>
    <n v="3"/>
    <n v="0.04"/>
    <s v="High Efficiency"/>
    <n v="9755"/>
    <n v="9755"/>
    <n v="9750"/>
    <x v="0"/>
    <m/>
    <m/>
    <m/>
    <m/>
    <s v="Tablet, Monitor, Headphones"/>
  </r>
  <r>
    <s v="Q2-004"/>
    <x v="33"/>
    <x v="0"/>
    <x v="14"/>
    <x v="3"/>
    <n v="1"/>
    <n v="1187"/>
    <x v="2"/>
    <m/>
    <m/>
    <m/>
    <m/>
    <n v="9"/>
    <n v="0.05"/>
    <s v="Low Efficiency"/>
    <n v="1187"/>
    <n v="1187"/>
    <n v="1186"/>
    <x v="0"/>
    <m/>
    <m/>
    <m/>
    <m/>
    <s v="Monitor, Headphones, Smartphone, Laptop, Printer"/>
  </r>
  <r>
    <s v="Q2-005"/>
    <x v="34"/>
    <x v="3"/>
    <x v="0"/>
    <x v="1"/>
    <n v="9"/>
    <n v="1259"/>
    <x v="2"/>
    <m/>
    <m/>
    <m/>
    <m/>
    <n v="4"/>
    <n v="0.04"/>
    <s v="High Efficiency"/>
    <n v="11331"/>
    <n v="11331"/>
    <n v="11322"/>
    <x v="0"/>
    <m/>
    <m/>
    <m/>
    <m/>
    <s v="Tablet, Smartphone, Headphones, Monitor, Laptop"/>
  </r>
  <r>
    <s v="Q2-006"/>
    <x v="35"/>
    <x v="3"/>
    <x v="8"/>
    <x v="2"/>
    <n v="6"/>
    <n v="1460"/>
    <x v="2"/>
    <m/>
    <m/>
    <m/>
    <m/>
    <n v="6"/>
    <n v="0.04"/>
    <s v="Low Efficiency"/>
    <n v="8760"/>
    <n v="8760"/>
    <n v="8754"/>
    <x v="0"/>
    <m/>
    <m/>
    <m/>
    <m/>
    <s v="Headphones, Smartphone, Monitor, Printer"/>
  </r>
  <r>
    <s v="Q2-007"/>
    <x v="36"/>
    <x v="2"/>
    <x v="8"/>
    <x v="5"/>
    <n v="5"/>
    <n v="1485"/>
    <x v="2"/>
    <m/>
    <m/>
    <m/>
    <m/>
    <n v="1"/>
    <n v="0.05"/>
    <s v="High Efficiency"/>
    <n v="7425"/>
    <n v="7425"/>
    <n v="7420"/>
    <x v="0"/>
    <m/>
    <m/>
    <m/>
    <m/>
    <s v="Headphones, Smartphone, Monitor, Printer"/>
  </r>
  <r>
    <s v="Q2-008"/>
    <x v="37"/>
    <x v="2"/>
    <x v="18"/>
    <x v="3"/>
    <n v="3"/>
    <n v="1472"/>
    <x v="2"/>
    <m/>
    <m/>
    <m/>
    <m/>
    <n v="4"/>
    <n v="0.04"/>
    <s v="High Efficiency"/>
    <n v="4416"/>
    <n v="4416"/>
    <n v="4413"/>
    <x v="0"/>
    <m/>
    <m/>
    <m/>
    <m/>
    <s v="Smartphone"/>
  </r>
  <r>
    <s v="Q2-009"/>
    <x v="38"/>
    <x v="1"/>
    <x v="7"/>
    <x v="4"/>
    <n v="8"/>
    <n v="1331"/>
    <x v="2"/>
    <m/>
    <m/>
    <m/>
    <m/>
    <n v="7"/>
    <n v="0.01"/>
    <s v="Low Efficiency"/>
    <n v="10648"/>
    <n v="10648"/>
    <n v="10640"/>
    <x v="0"/>
    <m/>
    <m/>
    <m/>
    <m/>
    <s v="Printer, Headphones, Laptop"/>
  </r>
  <r>
    <s v="Q2-010"/>
    <x v="39"/>
    <x v="1"/>
    <x v="11"/>
    <x v="3"/>
    <n v="2"/>
    <n v="222"/>
    <x v="2"/>
    <m/>
    <m/>
    <m/>
    <m/>
    <n v="4"/>
    <n v="0.03"/>
    <s v="High Efficiency"/>
    <n v="444"/>
    <n v="444"/>
    <n v="442"/>
    <x v="0"/>
    <m/>
    <m/>
    <m/>
    <m/>
    <s v="Printer, Monitor, Smartphone, Headphones, Laptop"/>
  </r>
  <r>
    <s v="Q2-011"/>
    <x v="40"/>
    <x v="0"/>
    <x v="3"/>
    <x v="1"/>
    <n v="3"/>
    <n v="1781"/>
    <x v="2"/>
    <m/>
    <m/>
    <m/>
    <m/>
    <n v="5"/>
    <n v="0.09"/>
    <s v="Low Efficiency"/>
    <n v="5343"/>
    <n v="5343"/>
    <n v="5340"/>
    <x v="0"/>
    <m/>
    <m/>
    <m/>
    <m/>
    <s v="Laptop, Headphones, Printer, Monitor"/>
  </r>
  <r>
    <s v="Q2-012"/>
    <x v="41"/>
    <x v="1"/>
    <x v="11"/>
    <x v="1"/>
    <n v="2"/>
    <n v="1545"/>
    <x v="2"/>
    <m/>
    <m/>
    <m/>
    <m/>
    <n v="8"/>
    <n v="0"/>
    <s v="Low Efficiency"/>
    <n v="3090"/>
    <n v="3090"/>
    <n v="3088"/>
    <x v="0"/>
    <m/>
    <m/>
    <m/>
    <m/>
    <s v="Printer, Monitor, Smartphone, Headphones, Laptop"/>
  </r>
  <r>
    <s v="Q2-013"/>
    <x v="42"/>
    <x v="2"/>
    <x v="9"/>
    <x v="4"/>
    <n v="1"/>
    <n v="1437"/>
    <x v="2"/>
    <m/>
    <m/>
    <m/>
    <m/>
    <n v="7"/>
    <n v="0"/>
    <s v="Low Efficiency"/>
    <n v="1437"/>
    <n v="1437"/>
    <n v="1436"/>
    <x v="0"/>
    <m/>
    <m/>
    <m/>
    <m/>
    <s v="Laptop, Headphones, Tablet, Monitor"/>
  </r>
  <r>
    <s v="Q2-014"/>
    <x v="43"/>
    <x v="3"/>
    <x v="14"/>
    <x v="4"/>
    <n v="8"/>
    <n v="1539"/>
    <x v="2"/>
    <m/>
    <m/>
    <m/>
    <m/>
    <n v="4"/>
    <n v="0.03"/>
    <s v="High Efficiency"/>
    <n v="12312"/>
    <n v="12312"/>
    <n v="12304"/>
    <x v="0"/>
    <m/>
    <m/>
    <m/>
    <m/>
    <s v="Monitor, Headphones, Smartphone, Laptop, Printer"/>
  </r>
  <r>
    <s v="Q2-015"/>
    <x v="44"/>
    <x v="3"/>
    <x v="4"/>
    <x v="5"/>
    <n v="2"/>
    <n v="1414"/>
    <x v="2"/>
    <m/>
    <m/>
    <m/>
    <m/>
    <n v="1"/>
    <n v="0.06"/>
    <s v="Low Efficiency"/>
    <n v="2828"/>
    <n v="2828"/>
    <n v="2826"/>
    <x v="0"/>
    <m/>
    <m/>
    <m/>
    <m/>
    <s v="Laptop, Printer"/>
  </r>
  <r>
    <s v="Q2-016"/>
    <x v="45"/>
    <x v="2"/>
    <x v="17"/>
    <x v="1"/>
    <n v="9"/>
    <n v="1076"/>
    <x v="2"/>
    <m/>
    <m/>
    <m/>
    <m/>
    <n v="5"/>
    <n v="0.1"/>
    <s v="Low Efficiency"/>
    <n v="9684"/>
    <n v="9684"/>
    <n v="9675"/>
    <x v="0"/>
    <m/>
    <m/>
    <m/>
    <m/>
    <s v="Printer, Headphones, Tablet"/>
  </r>
  <r>
    <s v="Q2-017"/>
    <x v="46"/>
    <x v="3"/>
    <x v="14"/>
    <x v="5"/>
    <n v="1"/>
    <n v="398"/>
    <x v="2"/>
    <m/>
    <m/>
    <m/>
    <m/>
    <n v="5"/>
    <n v="0.1"/>
    <s v="Low Efficiency"/>
    <n v="398"/>
    <n v="398"/>
    <n v="397"/>
    <x v="0"/>
    <m/>
    <m/>
    <m/>
    <m/>
    <s v="Monitor, Headphones, Smartphone, Laptop, Printer"/>
  </r>
  <r>
    <s v="Q2-018"/>
    <x v="47"/>
    <x v="2"/>
    <x v="12"/>
    <x v="1"/>
    <n v="8"/>
    <n v="1684"/>
    <x v="2"/>
    <m/>
    <m/>
    <m/>
    <m/>
    <n v="6"/>
    <n v="0.1"/>
    <s v="Low Efficiency"/>
    <n v="13472"/>
    <n v="13472"/>
    <n v="13464"/>
    <x v="0"/>
    <m/>
    <m/>
    <m/>
    <m/>
    <s v="Printer, Monitor, Headphones"/>
  </r>
  <r>
    <s v="Q2-019"/>
    <x v="48"/>
    <x v="3"/>
    <x v="8"/>
    <x v="5"/>
    <n v="1"/>
    <n v="648"/>
    <x v="2"/>
    <m/>
    <m/>
    <m/>
    <m/>
    <n v="8"/>
    <n v="0.01"/>
    <s v="Low Efficiency"/>
    <n v="648"/>
    <n v="648"/>
    <n v="647"/>
    <x v="0"/>
    <m/>
    <m/>
    <m/>
    <m/>
    <s v="Headphones, Smartphone, Monitor, Printer"/>
  </r>
  <r>
    <s v="Q2-020"/>
    <x v="49"/>
    <x v="2"/>
    <x v="15"/>
    <x v="4"/>
    <n v="6"/>
    <n v="634"/>
    <x v="2"/>
    <m/>
    <m/>
    <m/>
    <m/>
    <n v="7"/>
    <n v="7.0000000000000007E-2"/>
    <s v="Low Efficiency"/>
    <n v="3804"/>
    <n v="3804"/>
    <n v="3798"/>
    <x v="0"/>
    <m/>
    <m/>
    <m/>
    <m/>
    <s v="Laptop, Headphones, Monitor"/>
  </r>
  <r>
    <s v="Q2-021"/>
    <x v="50"/>
    <x v="1"/>
    <x v="16"/>
    <x v="4"/>
    <n v="3"/>
    <n v="119"/>
    <x v="2"/>
    <m/>
    <m/>
    <m/>
    <m/>
    <n v="7"/>
    <n v="0.05"/>
    <s v="Low Efficiency"/>
    <n v="357"/>
    <n v="357"/>
    <n v="354"/>
    <x v="0"/>
    <m/>
    <m/>
    <m/>
    <m/>
    <s v="Monitor, Laptop, Smartphone"/>
  </r>
  <r>
    <s v="Q2-022"/>
    <x v="51"/>
    <x v="1"/>
    <x v="16"/>
    <x v="3"/>
    <n v="6"/>
    <n v="1219"/>
    <x v="2"/>
    <m/>
    <m/>
    <m/>
    <m/>
    <n v="3"/>
    <n v="0.02"/>
    <s v="High Efficiency"/>
    <n v="7314"/>
    <n v="7314"/>
    <n v="7308"/>
    <x v="0"/>
    <m/>
    <m/>
    <m/>
    <m/>
    <s v="Monitor, Laptop, Smartphone"/>
  </r>
  <r>
    <s v="Q2-023"/>
    <x v="52"/>
    <x v="0"/>
    <x v="7"/>
    <x v="5"/>
    <n v="2"/>
    <n v="1169"/>
    <x v="2"/>
    <m/>
    <m/>
    <m/>
    <m/>
    <n v="5"/>
    <n v="0.09"/>
    <s v="Low Efficiency"/>
    <n v="2338"/>
    <n v="2338"/>
    <n v="2336"/>
    <x v="0"/>
    <m/>
    <m/>
    <m/>
    <m/>
    <s v="Printer, Headphones, Laptop"/>
  </r>
  <r>
    <s v="Q2-024"/>
    <x v="53"/>
    <x v="1"/>
    <x v="9"/>
    <x v="1"/>
    <n v="4"/>
    <n v="1964"/>
    <x v="2"/>
    <m/>
    <m/>
    <m/>
    <m/>
    <n v="3"/>
    <n v="0.02"/>
    <s v="High Efficiency"/>
    <n v="7856"/>
    <n v="7856"/>
    <n v="7852"/>
    <x v="0"/>
    <m/>
    <m/>
    <m/>
    <m/>
    <s v="Laptop, Headphones, Tablet, Monitor"/>
  </r>
  <r>
    <s v="Q2-025"/>
    <x v="54"/>
    <x v="1"/>
    <x v="19"/>
    <x v="0"/>
    <n v="4"/>
    <n v="1929"/>
    <x v="2"/>
    <m/>
    <m/>
    <m/>
    <m/>
    <n v="8"/>
    <n v="0.1"/>
    <s v="Low Efficiency"/>
    <n v="7716"/>
    <n v="7716"/>
    <n v="7712"/>
    <x v="0"/>
    <m/>
    <m/>
    <m/>
    <m/>
    <s v="Tablet, Laptop, Headphones"/>
  </r>
  <r>
    <s v="Q2-026"/>
    <x v="55"/>
    <x v="2"/>
    <x v="2"/>
    <x v="5"/>
    <n v="2"/>
    <n v="109"/>
    <x v="2"/>
    <m/>
    <m/>
    <m/>
    <m/>
    <n v="2"/>
    <n v="0.06"/>
    <s v="Low Efficiency"/>
    <n v="218"/>
    <n v="218"/>
    <n v="216"/>
    <x v="0"/>
    <m/>
    <m/>
    <m/>
    <m/>
    <s v="Monitor, Printer, Tablet"/>
  </r>
  <r>
    <s v="Q2-027"/>
    <x v="56"/>
    <x v="3"/>
    <x v="14"/>
    <x v="3"/>
    <n v="9"/>
    <n v="249"/>
    <x v="2"/>
    <m/>
    <m/>
    <m/>
    <m/>
    <n v="7"/>
    <n v="0.02"/>
    <s v="Low Efficiency"/>
    <n v="2241"/>
    <n v="2241"/>
    <n v="2232"/>
    <x v="0"/>
    <m/>
    <m/>
    <m/>
    <m/>
    <s v="Monitor, Headphones, Smartphone, Laptop, Printer"/>
  </r>
  <r>
    <s v="Q2-028"/>
    <x v="57"/>
    <x v="2"/>
    <x v="0"/>
    <x v="1"/>
    <n v="7"/>
    <n v="520"/>
    <x v="2"/>
    <m/>
    <m/>
    <m/>
    <m/>
    <n v="7"/>
    <n v="0.04"/>
    <s v="Low Efficiency"/>
    <n v="3640"/>
    <n v="3640"/>
    <n v="3633"/>
    <x v="0"/>
    <m/>
    <m/>
    <m/>
    <m/>
    <s v="Tablet, Smartphone, Headphones, Monitor, Laptop"/>
  </r>
  <r>
    <s v="Q2-029"/>
    <x v="58"/>
    <x v="0"/>
    <x v="16"/>
    <x v="2"/>
    <n v="9"/>
    <n v="854"/>
    <x v="2"/>
    <m/>
    <m/>
    <m/>
    <m/>
    <n v="1"/>
    <n v="0.02"/>
    <s v="High Efficiency"/>
    <n v="7686"/>
    <n v="7686"/>
    <n v="7677"/>
    <x v="0"/>
    <m/>
    <m/>
    <m/>
    <m/>
    <s v="Monitor, Laptop, Smartphone"/>
  </r>
  <r>
    <s v="Q2-030"/>
    <x v="59"/>
    <x v="2"/>
    <x v="15"/>
    <x v="1"/>
    <n v="2"/>
    <n v="1035"/>
    <x v="2"/>
    <m/>
    <m/>
    <m/>
    <m/>
    <n v="8"/>
    <n v="0.04"/>
    <s v="Low Efficiency"/>
    <n v="2070"/>
    <n v="2070"/>
    <n v="2068"/>
    <x v="0"/>
    <m/>
    <m/>
    <m/>
    <m/>
    <s v="Laptop, Headphones, Monitor"/>
  </r>
  <r>
    <s v="Q3-001"/>
    <x v="60"/>
    <x v="3"/>
    <x v="11"/>
    <x v="2"/>
    <n v="4"/>
    <n v="160"/>
    <x v="2"/>
    <m/>
    <m/>
    <m/>
    <m/>
    <n v="3"/>
    <n v="0.06"/>
    <s v="Low Efficiency"/>
    <n v="640"/>
    <n v="640"/>
    <n v="636"/>
    <x v="0"/>
    <m/>
    <m/>
    <m/>
    <m/>
    <s v="Printer, Monitor, Smartphone, Headphones, Laptop"/>
  </r>
  <r>
    <s v="Q3-002"/>
    <x v="61"/>
    <x v="0"/>
    <x v="11"/>
    <x v="2"/>
    <n v="1"/>
    <n v="233"/>
    <x v="2"/>
    <m/>
    <m/>
    <m/>
    <m/>
    <n v="4"/>
    <n v="7.0000000000000007E-2"/>
    <s v="Low Efficiency"/>
    <n v="233"/>
    <n v="233"/>
    <n v="232"/>
    <x v="0"/>
    <m/>
    <m/>
    <m/>
    <m/>
    <s v="Printer, Monitor, Smartphone, Headphones, Laptop"/>
  </r>
  <r>
    <s v="Q3-003"/>
    <x v="62"/>
    <x v="1"/>
    <x v="8"/>
    <x v="3"/>
    <n v="9"/>
    <n v="312"/>
    <x v="2"/>
    <m/>
    <m/>
    <m/>
    <m/>
    <n v="6"/>
    <n v="0.05"/>
    <s v="Low Efficiency"/>
    <n v="2808"/>
    <n v="2808"/>
    <n v="2799"/>
    <x v="0"/>
    <m/>
    <m/>
    <m/>
    <m/>
    <s v="Headphones, Smartphone, Monitor, Printer"/>
  </r>
  <r>
    <s v="Q3-004"/>
    <x v="63"/>
    <x v="2"/>
    <x v="9"/>
    <x v="4"/>
    <n v="3"/>
    <n v="603"/>
    <x v="2"/>
    <m/>
    <m/>
    <m/>
    <m/>
    <n v="5"/>
    <n v="0.03"/>
    <s v="High Efficiency"/>
    <n v="1809"/>
    <n v="1809"/>
    <n v="1806"/>
    <x v="0"/>
    <m/>
    <m/>
    <m/>
    <m/>
    <s v="Laptop, Headphones, Tablet, Monitor"/>
  </r>
  <r>
    <s v="Q3-005"/>
    <x v="64"/>
    <x v="0"/>
    <x v="15"/>
    <x v="2"/>
    <n v="8"/>
    <n v="1987"/>
    <x v="2"/>
    <m/>
    <m/>
    <m/>
    <m/>
    <n v="3"/>
    <n v="0.06"/>
    <s v="Low Efficiency"/>
    <n v="15896"/>
    <n v="15896"/>
    <n v="15888"/>
    <x v="0"/>
    <m/>
    <m/>
    <m/>
    <m/>
    <s v="Laptop, Headphones, Monitor"/>
  </r>
  <r>
    <s v="Q3-006"/>
    <x v="65"/>
    <x v="3"/>
    <x v="13"/>
    <x v="4"/>
    <n v="3"/>
    <n v="589"/>
    <x v="2"/>
    <m/>
    <m/>
    <m/>
    <m/>
    <n v="5"/>
    <n v="0.04"/>
    <s v="High Efficiency"/>
    <n v="1767"/>
    <n v="1767"/>
    <n v="1764"/>
    <x v="0"/>
    <m/>
    <m/>
    <m/>
    <m/>
    <s v="Smartphone, Headphones, Laptop"/>
  </r>
  <r>
    <s v="Q3-007"/>
    <x v="66"/>
    <x v="2"/>
    <x v="15"/>
    <x v="1"/>
    <n v="2"/>
    <n v="1742"/>
    <x v="2"/>
    <m/>
    <m/>
    <m/>
    <m/>
    <n v="4"/>
    <n v="0.04"/>
    <s v="High Efficiency"/>
    <n v="3484"/>
    <n v="3484"/>
    <n v="3482"/>
    <x v="0"/>
    <m/>
    <m/>
    <m/>
    <m/>
    <s v="Laptop, Headphones, Monitor"/>
  </r>
  <r>
    <s v="Q3-008"/>
    <x v="67"/>
    <x v="0"/>
    <x v="18"/>
    <x v="3"/>
    <n v="4"/>
    <n v="1461"/>
    <x v="2"/>
    <m/>
    <m/>
    <m/>
    <m/>
    <n v="8"/>
    <n v="0.03"/>
    <s v="Low Efficiency"/>
    <n v="5844"/>
    <n v="5844"/>
    <n v="5840"/>
    <x v="0"/>
    <m/>
    <m/>
    <m/>
    <m/>
    <s v="Smartphone"/>
  </r>
  <r>
    <s v="Q3-009"/>
    <x v="68"/>
    <x v="0"/>
    <x v="19"/>
    <x v="4"/>
    <n v="3"/>
    <n v="1133"/>
    <x v="2"/>
    <m/>
    <m/>
    <m/>
    <m/>
    <n v="1"/>
    <n v="0.02"/>
    <s v="High Efficiency"/>
    <n v="3399"/>
    <n v="3399"/>
    <n v="3396"/>
    <x v="0"/>
    <m/>
    <m/>
    <m/>
    <m/>
    <s v="Tablet, Laptop, Headphones"/>
  </r>
  <r>
    <s v="Q3-010"/>
    <x v="69"/>
    <x v="2"/>
    <x v="0"/>
    <x v="2"/>
    <n v="5"/>
    <n v="644"/>
    <x v="2"/>
    <m/>
    <m/>
    <m/>
    <m/>
    <n v="1"/>
    <n v="0.05"/>
    <s v="High Efficiency"/>
    <n v="3220"/>
    <n v="3220"/>
    <n v="3215"/>
    <x v="0"/>
    <m/>
    <m/>
    <m/>
    <m/>
    <s v="Tablet, Smartphone, Headphones, Monitor, Laptop"/>
  </r>
  <r>
    <s v="Q3-011"/>
    <x v="70"/>
    <x v="3"/>
    <x v="19"/>
    <x v="1"/>
    <n v="2"/>
    <n v="1265"/>
    <x v="2"/>
    <m/>
    <m/>
    <m/>
    <m/>
    <n v="6"/>
    <n v="0.05"/>
    <s v="Low Efficiency"/>
    <n v="2530"/>
    <n v="2530"/>
    <n v="2528"/>
    <x v="0"/>
    <m/>
    <m/>
    <m/>
    <m/>
    <s v="Tablet, Laptop, Headphones"/>
  </r>
  <r>
    <s v="Q3-012"/>
    <x v="71"/>
    <x v="1"/>
    <x v="17"/>
    <x v="0"/>
    <n v="3"/>
    <n v="1634"/>
    <x v="2"/>
    <m/>
    <m/>
    <m/>
    <m/>
    <n v="7"/>
    <n v="0.09"/>
    <s v="Low Efficiency"/>
    <n v="4902"/>
    <n v="4902"/>
    <n v="4899"/>
    <x v="0"/>
    <m/>
    <m/>
    <m/>
    <m/>
    <s v="Printer, Headphones, Tablet"/>
  </r>
  <r>
    <s v="Q3-013"/>
    <x v="72"/>
    <x v="2"/>
    <x v="3"/>
    <x v="5"/>
    <n v="3"/>
    <n v="144"/>
    <x v="2"/>
    <m/>
    <m/>
    <m/>
    <m/>
    <n v="7"/>
    <n v="7.0000000000000007E-2"/>
    <s v="Low Efficiency"/>
    <n v="432"/>
    <n v="432"/>
    <n v="429"/>
    <x v="0"/>
    <m/>
    <m/>
    <m/>
    <m/>
    <s v="Laptop, Headphones, Printer, Monitor"/>
  </r>
  <r>
    <s v="Q3-014"/>
    <x v="73"/>
    <x v="1"/>
    <x v="2"/>
    <x v="0"/>
    <n v="8"/>
    <n v="1707"/>
    <x v="2"/>
    <m/>
    <m/>
    <m/>
    <m/>
    <n v="6"/>
    <n v="0.08"/>
    <s v="Low Efficiency"/>
    <n v="13656"/>
    <n v="13656"/>
    <n v="13648"/>
    <x v="0"/>
    <m/>
    <m/>
    <m/>
    <m/>
    <s v="Monitor, Printer, Tablet"/>
  </r>
  <r>
    <s v="Q3-015"/>
    <x v="74"/>
    <x v="3"/>
    <x v="1"/>
    <x v="4"/>
    <n v="4"/>
    <n v="960"/>
    <x v="2"/>
    <m/>
    <m/>
    <m/>
    <m/>
    <n v="7"/>
    <n v="0.04"/>
    <s v="Low Efficiency"/>
    <n v="3840"/>
    <n v="3840"/>
    <n v="3836"/>
    <x v="0"/>
    <m/>
    <m/>
    <m/>
    <m/>
    <s v="Headphones, Printer, Laptop"/>
  </r>
  <r>
    <s v="Q3-016"/>
    <x v="75"/>
    <x v="1"/>
    <x v="5"/>
    <x v="4"/>
    <n v="5"/>
    <n v="1416"/>
    <x v="2"/>
    <m/>
    <m/>
    <m/>
    <m/>
    <n v="5"/>
    <n v="0.03"/>
    <s v="High Efficiency"/>
    <n v="7080"/>
    <n v="7080"/>
    <n v="7075"/>
    <x v="0"/>
    <m/>
    <m/>
    <m/>
    <m/>
    <s v="Tablet, Laptop, Printer, Smartphone"/>
  </r>
  <r>
    <s v="Q3-017"/>
    <x v="76"/>
    <x v="0"/>
    <x v="5"/>
    <x v="5"/>
    <n v="2"/>
    <n v="300"/>
    <x v="2"/>
    <m/>
    <m/>
    <m/>
    <m/>
    <n v="8"/>
    <n v="7.0000000000000007E-2"/>
    <s v="Low Efficiency"/>
    <n v="600"/>
    <n v="600"/>
    <n v="598"/>
    <x v="0"/>
    <m/>
    <m/>
    <m/>
    <m/>
    <s v="Tablet, Laptop, Printer, Smartphone"/>
  </r>
  <r>
    <s v="Q3-018"/>
    <x v="77"/>
    <x v="1"/>
    <x v="11"/>
    <x v="4"/>
    <n v="7"/>
    <n v="608"/>
    <x v="2"/>
    <m/>
    <m/>
    <m/>
    <m/>
    <n v="4"/>
    <n v="7.0000000000000007E-2"/>
    <s v="Low Efficiency"/>
    <n v="4256"/>
    <n v="4256"/>
    <n v="4249"/>
    <x v="0"/>
    <m/>
    <m/>
    <m/>
    <m/>
    <s v="Printer, Monitor, Smartphone, Headphones, Laptop"/>
  </r>
  <r>
    <s v="Q3-019"/>
    <x v="78"/>
    <x v="1"/>
    <x v="5"/>
    <x v="4"/>
    <n v="8"/>
    <n v="1150"/>
    <x v="2"/>
    <m/>
    <m/>
    <m/>
    <m/>
    <n v="3"/>
    <n v="0.01"/>
    <s v="High Efficiency"/>
    <n v="9200"/>
    <n v="9200"/>
    <n v="9192"/>
    <x v="0"/>
    <m/>
    <m/>
    <m/>
    <m/>
    <s v="Tablet, Laptop, Printer, Smartphone"/>
  </r>
  <r>
    <s v="Q3-020"/>
    <x v="79"/>
    <x v="3"/>
    <x v="9"/>
    <x v="0"/>
    <n v="2"/>
    <n v="508"/>
    <x v="2"/>
    <m/>
    <m/>
    <m/>
    <m/>
    <n v="4"/>
    <n v="0.01"/>
    <s v="High Efficiency"/>
    <n v="1016"/>
    <n v="1016"/>
    <n v="1014"/>
    <x v="0"/>
    <m/>
    <m/>
    <m/>
    <m/>
    <s v="Laptop, Headphones, Tablet, Monitor"/>
  </r>
  <r>
    <s v="Q3-021"/>
    <x v="80"/>
    <x v="0"/>
    <x v="9"/>
    <x v="0"/>
    <n v="1"/>
    <n v="1272"/>
    <x v="2"/>
    <m/>
    <m/>
    <m/>
    <m/>
    <n v="9"/>
    <n v="0.05"/>
    <s v="Low Efficiency"/>
    <n v="1272"/>
    <n v="1272"/>
    <n v="1271"/>
    <x v="0"/>
    <m/>
    <m/>
    <m/>
    <m/>
    <s v="Laptop, Headphones, Tablet, Monitor"/>
  </r>
  <r>
    <s v="Q3-022"/>
    <x v="81"/>
    <x v="3"/>
    <x v="3"/>
    <x v="2"/>
    <n v="1"/>
    <n v="1186"/>
    <x v="2"/>
    <m/>
    <m/>
    <m/>
    <m/>
    <n v="8"/>
    <n v="0.02"/>
    <s v="Low Efficiency"/>
    <n v="1186"/>
    <n v="1186"/>
    <n v="1185"/>
    <x v="0"/>
    <m/>
    <m/>
    <m/>
    <m/>
    <s v="Laptop, Headphones, Printer, Monitor"/>
  </r>
  <r>
    <s v="Q3-023"/>
    <x v="82"/>
    <x v="2"/>
    <x v="11"/>
    <x v="4"/>
    <n v="6"/>
    <n v="272"/>
    <x v="2"/>
    <m/>
    <m/>
    <m/>
    <m/>
    <n v="2"/>
    <n v="0.1"/>
    <s v="Low Efficiency"/>
    <n v="1632"/>
    <n v="1632"/>
    <n v="1626"/>
    <x v="0"/>
    <m/>
    <m/>
    <m/>
    <m/>
    <s v="Printer, Monitor, Smartphone, Headphones, Laptop"/>
  </r>
  <r>
    <s v="Q3-024"/>
    <x v="83"/>
    <x v="0"/>
    <x v="6"/>
    <x v="1"/>
    <n v="9"/>
    <n v="1794"/>
    <x v="2"/>
    <m/>
    <m/>
    <m/>
    <m/>
    <n v="6"/>
    <n v="0.08"/>
    <s v="Low Efficiency"/>
    <n v="16146"/>
    <n v="16146"/>
    <n v="16137"/>
    <x v="0"/>
    <m/>
    <m/>
    <m/>
    <m/>
    <s v="Tablet, Monitor, Headphones"/>
  </r>
  <r>
    <s v="Q3-025"/>
    <x v="84"/>
    <x v="0"/>
    <x v="15"/>
    <x v="2"/>
    <n v="5"/>
    <n v="757"/>
    <x v="2"/>
    <m/>
    <m/>
    <m/>
    <m/>
    <n v="4"/>
    <n v="0.05"/>
    <s v="High Efficiency"/>
    <n v="3785"/>
    <n v="3785"/>
    <n v="3780"/>
    <x v="0"/>
    <m/>
    <m/>
    <m/>
    <m/>
    <s v="Laptop, Headphones, Monitor"/>
  </r>
  <r>
    <s v="Q3-026"/>
    <x v="85"/>
    <x v="1"/>
    <x v="5"/>
    <x v="3"/>
    <n v="9"/>
    <n v="472"/>
    <x v="2"/>
    <m/>
    <m/>
    <m/>
    <m/>
    <n v="1"/>
    <n v="0.02"/>
    <s v="High Efficiency"/>
    <n v="4248"/>
    <n v="4248"/>
    <n v="4239"/>
    <x v="0"/>
    <m/>
    <m/>
    <m/>
    <m/>
    <s v="Tablet, Laptop, Printer, Smartphone"/>
  </r>
  <r>
    <s v="Q3-027"/>
    <x v="86"/>
    <x v="2"/>
    <x v="19"/>
    <x v="4"/>
    <n v="9"/>
    <n v="132"/>
    <x v="2"/>
    <m/>
    <m/>
    <m/>
    <m/>
    <n v="7"/>
    <n v="0.01"/>
    <s v="Low Efficiency"/>
    <n v="1188"/>
    <n v="1188"/>
    <n v="1179"/>
    <x v="0"/>
    <m/>
    <m/>
    <m/>
    <m/>
    <s v="Tablet, Laptop, Headphones"/>
  </r>
  <r>
    <s v="Q3-028"/>
    <x v="87"/>
    <x v="3"/>
    <x v="0"/>
    <x v="4"/>
    <n v="4"/>
    <n v="1817"/>
    <x v="2"/>
    <m/>
    <m/>
    <m/>
    <m/>
    <n v="3"/>
    <n v="0.1"/>
    <s v="Low Efficiency"/>
    <n v="7268"/>
    <n v="7268"/>
    <n v="7264"/>
    <x v="0"/>
    <m/>
    <m/>
    <m/>
    <m/>
    <s v="Tablet, Smartphone, Headphones, Monitor, Laptop"/>
  </r>
  <r>
    <s v="Q3-029"/>
    <x v="88"/>
    <x v="3"/>
    <x v="9"/>
    <x v="2"/>
    <n v="5"/>
    <n v="698"/>
    <x v="2"/>
    <m/>
    <m/>
    <m/>
    <m/>
    <n v="4"/>
    <n v="7.0000000000000007E-2"/>
    <s v="Low Efficiency"/>
    <n v="3490"/>
    <n v="3490"/>
    <n v="3485"/>
    <x v="0"/>
    <m/>
    <m/>
    <m/>
    <m/>
    <s v="Laptop, Headphones, Tablet, Monitor"/>
  </r>
  <r>
    <s v="Q3-030"/>
    <x v="89"/>
    <x v="1"/>
    <x v="12"/>
    <x v="2"/>
    <n v="3"/>
    <n v="651"/>
    <x v="2"/>
    <m/>
    <m/>
    <m/>
    <m/>
    <n v="5"/>
    <n v="0.09"/>
    <s v="Low Efficiency"/>
    <n v="1953"/>
    <n v="1953"/>
    <n v="1950"/>
    <x v="0"/>
    <m/>
    <m/>
    <m/>
    <m/>
    <s v="Printer, Monitor, Headphon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K7" firstHeaderRow="0" firstDataRow="1" firstDataCol="1"/>
  <pivotFields count="25">
    <pivotField showAll="0"/>
    <pivotField numFmtId="164" showAll="0">
      <items count="91">
        <item x="25"/>
        <item x="22"/>
        <item x="11"/>
        <item x="4"/>
        <item x="29"/>
        <item x="8"/>
        <item x="14"/>
        <item x="10"/>
        <item x="27"/>
        <item x="16"/>
        <item x="12"/>
        <item x="18"/>
        <item x="3"/>
        <item x="7"/>
        <item x="0"/>
        <item x="24"/>
        <item x="1"/>
        <item x="20"/>
        <item x="23"/>
        <item x="5"/>
        <item x="13"/>
        <item x="26"/>
        <item x="17"/>
        <item x="28"/>
        <item x="21"/>
        <item x="6"/>
        <item x="2"/>
        <item x="19"/>
        <item x="15"/>
        <item x="9"/>
        <item x="48"/>
        <item x="59"/>
        <item x="40"/>
        <item x="43"/>
        <item x="55"/>
        <item x="38"/>
        <item x="39"/>
        <item x="36"/>
        <item x="37"/>
        <item x="30"/>
        <item x="57"/>
        <item x="34"/>
        <item x="51"/>
        <item x="32"/>
        <item x="56"/>
        <item x="46"/>
        <item x="44"/>
        <item x="45"/>
        <item x="33"/>
        <item x="53"/>
        <item x="52"/>
        <item x="54"/>
        <item x="47"/>
        <item x="58"/>
        <item x="49"/>
        <item x="31"/>
        <item x="41"/>
        <item x="42"/>
        <item x="35"/>
        <item x="50"/>
        <item x="60"/>
        <item x="81"/>
        <item x="63"/>
        <item x="73"/>
        <item x="64"/>
        <item x="67"/>
        <item x="85"/>
        <item x="61"/>
        <item x="87"/>
        <item x="86"/>
        <item x="78"/>
        <item x="71"/>
        <item x="74"/>
        <item x="82"/>
        <item x="83"/>
        <item x="79"/>
        <item x="66"/>
        <item x="88"/>
        <item x="65"/>
        <item x="62"/>
        <item x="84"/>
        <item x="70"/>
        <item x="89"/>
        <item x="76"/>
        <item x="77"/>
        <item x="68"/>
        <item x="72"/>
        <item x="75"/>
        <item x="80"/>
        <item x="69"/>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showAll="0"/>
    <pivotField dataField="1" numFmtId="9"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Average of Delivery Days" fld="12" subtotal="average" baseField="0" baseItem="0" numFmtId="2"/>
    <dataField name="Average of Return Rate" fld="13" subtotal="average" baseField="0" baseItem="0" numFmtId="9"/>
  </dataFields>
  <formats count="11">
    <format dxfId="31">
      <pivotArea outline="0" collapsedLevelsAreSubtotals="1" fieldPosition="0"/>
    </format>
    <format dxfId="30">
      <pivotArea dataOnly="0" labelOnly="1" outline="0" axis="axisValues" fieldPosition="0"/>
    </format>
    <format dxfId="29">
      <pivotArea dataOnly="0" labelOnly="1" fieldPosition="0">
        <references count="1">
          <reference field="2" count="0"/>
        </references>
      </pivotArea>
    </format>
    <format dxfId="28">
      <pivotArea collapsedLevelsAreSubtotals="1" fieldPosition="0">
        <references count="2">
          <reference field="4294967294" count="1" selected="0">
            <x v="0"/>
          </reference>
          <reference field="2" count="0"/>
        </references>
      </pivotArea>
    </format>
    <format dxfId="27">
      <pivotArea collapsedLevelsAreSubtotals="1" fieldPosition="0">
        <references count="2">
          <reference field="4294967294" count="1" selected="0">
            <x v="1"/>
          </reference>
          <reference field="2" count="0"/>
        </references>
      </pivotArea>
    </format>
    <format dxfId="26">
      <pivotArea field="2" grandRow="1" outline="0" collapsedLevelsAreSubtotals="1" axis="axisRow" fieldPosition="0">
        <references count="1">
          <reference field="4294967294" count="1" selected="0">
            <x v="1"/>
          </reference>
        </references>
      </pivotArea>
    </format>
    <format dxfId="25">
      <pivotArea field="2" grandRow="1" outline="0" collapsedLevelsAreSubtotals="1" axis="axisRow" fieldPosition="0">
        <references count="1">
          <reference field="4294967294" count="1" selected="0">
            <x v="0"/>
          </reference>
        </references>
      </pivotArea>
    </format>
    <format dxfId="24">
      <pivotArea dataOnly="0" labelOnly="1" grandRow="1" outline="0" fieldPosition="0"/>
    </format>
    <format dxfId="23">
      <pivotArea grandRow="1" outline="0" collapsedLevelsAreSubtotals="1" fieldPosition="0"/>
    </format>
    <format dxfId="22">
      <pivotArea dataOnly="0" labelOnly="1" grandRow="1" outline="0" fieldPosition="0"/>
    </format>
    <format dxfId="0">
      <pivotArea type="all" dataOnly="0"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7" firstHeaderRow="0" firstDataRow="1" firstDataCol="1"/>
  <pivotFields count="25">
    <pivotField showAll="0"/>
    <pivotField numFmtId="164" showAll="0">
      <items count="91">
        <item x="25"/>
        <item x="22"/>
        <item x="11"/>
        <item x="4"/>
        <item x="29"/>
        <item x="8"/>
        <item x="14"/>
        <item x="10"/>
        <item x="27"/>
        <item x="16"/>
        <item x="12"/>
        <item x="18"/>
        <item x="3"/>
        <item x="7"/>
        <item x="0"/>
        <item x="24"/>
        <item x="1"/>
        <item x="20"/>
        <item x="23"/>
        <item x="5"/>
        <item x="13"/>
        <item x="26"/>
        <item x="17"/>
        <item x="28"/>
        <item x="21"/>
        <item x="6"/>
        <item x="2"/>
        <item x="19"/>
        <item x="15"/>
        <item x="9"/>
        <item x="48"/>
        <item x="59"/>
        <item x="40"/>
        <item x="43"/>
        <item x="55"/>
        <item x="38"/>
        <item x="39"/>
        <item x="36"/>
        <item x="37"/>
        <item x="30"/>
        <item x="57"/>
        <item x="34"/>
        <item x="51"/>
        <item x="32"/>
        <item x="56"/>
        <item x="46"/>
        <item x="44"/>
        <item x="45"/>
        <item x="33"/>
        <item x="53"/>
        <item x="52"/>
        <item x="54"/>
        <item x="47"/>
        <item x="58"/>
        <item x="49"/>
        <item x="31"/>
        <item x="41"/>
        <item x="42"/>
        <item x="35"/>
        <item x="50"/>
        <item x="60"/>
        <item x="81"/>
        <item x="63"/>
        <item x="73"/>
        <item x="64"/>
        <item x="67"/>
        <item x="85"/>
        <item x="61"/>
        <item x="87"/>
        <item x="86"/>
        <item x="78"/>
        <item x="71"/>
        <item x="74"/>
        <item x="82"/>
        <item x="83"/>
        <item x="79"/>
        <item x="66"/>
        <item x="88"/>
        <item x="65"/>
        <item x="62"/>
        <item x="84"/>
        <item x="70"/>
        <item x="89"/>
        <item x="76"/>
        <item x="77"/>
        <item x="68"/>
        <item x="72"/>
        <item x="75"/>
        <item x="80"/>
        <item x="69"/>
        <item t="default"/>
      </items>
    </pivotField>
    <pivotField axis="axisRow" showAll="0">
      <items count="5">
        <item x="2"/>
        <item x="3"/>
        <item x="0"/>
        <item x="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9" showAll="0"/>
    <pivotField showAll="0"/>
    <pivotField dataField="1" showAll="0"/>
    <pivotField showAll="0"/>
    <pivotField dataField="1" showAll="0"/>
    <pivotField showAll="0">
      <items count="2">
        <item x="0"/>
        <item t="default"/>
      </items>
    </pivotField>
    <pivotField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Revenue" fld="15" baseField="0" baseItem="0"/>
    <dataField name="Sum of Profit" fld="17" baseField="0" baseItem="0"/>
  </dataFields>
  <formats count="5">
    <format dxfId="36">
      <pivotArea collapsedLevelsAreSubtotals="1" fieldPosition="0">
        <references count="2">
          <reference field="4294967294" count="1" selected="0">
            <x v="0"/>
          </reference>
          <reference field="2" count="1">
            <x v="2"/>
          </reference>
        </references>
      </pivotArea>
    </format>
    <format dxfId="35">
      <pivotArea field="2" grandRow="1" outline="0" collapsedLevelsAreSubtotals="1" axis="axisRow" fieldPosition="0">
        <references count="1">
          <reference field="4294967294" count="1" selected="0">
            <x v="0"/>
          </reference>
        </references>
      </pivotArea>
    </format>
    <format dxfId="34">
      <pivotArea dataOnly="0" labelOnly="1" fieldPosition="0">
        <references count="1">
          <reference field="2" count="0"/>
        </references>
      </pivotArea>
    </format>
    <format dxfId="33">
      <pivotArea collapsedLevelsAreSubtotals="1" fieldPosition="0">
        <references count="2">
          <reference field="4294967294" count="1" selected="0">
            <x v="0"/>
          </reference>
          <reference field="2" count="0"/>
        </references>
      </pivotArea>
    </format>
    <format dxfId="32">
      <pivotArea collapsedLevelsAreSubtotals="1" fieldPosition="0">
        <references count="2">
          <reference field="4294967294" count="1" selected="0">
            <x v="1"/>
          </reference>
          <reference field="2" count="0"/>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3:H18" firstHeaderRow="0" firstDataRow="1" firstDataCol="1"/>
  <pivotFields count="25">
    <pivotField showAll="0"/>
    <pivotField numFmtId="164" showAll="0">
      <items count="91">
        <item x="25"/>
        <item x="22"/>
        <item x="11"/>
        <item x="4"/>
        <item x="29"/>
        <item x="8"/>
        <item x="14"/>
        <item x="10"/>
        <item x="27"/>
        <item x="16"/>
        <item x="12"/>
        <item x="18"/>
        <item x="3"/>
        <item x="7"/>
        <item x="0"/>
        <item x="24"/>
        <item x="1"/>
        <item x="20"/>
        <item x="23"/>
        <item x="5"/>
        <item x="13"/>
        <item x="26"/>
        <item x="17"/>
        <item x="28"/>
        <item x="21"/>
        <item x="6"/>
        <item x="2"/>
        <item x="19"/>
        <item x="15"/>
        <item x="9"/>
        <item x="48"/>
        <item x="59"/>
        <item x="40"/>
        <item x="43"/>
        <item x="55"/>
        <item x="38"/>
        <item x="39"/>
        <item x="36"/>
        <item x="37"/>
        <item x="30"/>
        <item x="57"/>
        <item x="34"/>
        <item x="51"/>
        <item x="32"/>
        <item x="56"/>
        <item x="46"/>
        <item x="44"/>
        <item x="45"/>
        <item x="33"/>
        <item x="53"/>
        <item x="52"/>
        <item x="54"/>
        <item x="47"/>
        <item x="58"/>
        <item x="49"/>
        <item x="31"/>
        <item x="41"/>
        <item x="42"/>
        <item x="35"/>
        <item x="50"/>
        <item x="60"/>
        <item x="81"/>
        <item x="63"/>
        <item x="73"/>
        <item x="64"/>
        <item x="67"/>
        <item x="85"/>
        <item x="61"/>
        <item x="87"/>
        <item x="86"/>
        <item x="78"/>
        <item x="71"/>
        <item x="74"/>
        <item x="82"/>
        <item x="83"/>
        <item x="79"/>
        <item x="66"/>
        <item x="88"/>
        <item x="65"/>
        <item x="62"/>
        <item x="84"/>
        <item x="70"/>
        <item x="89"/>
        <item x="76"/>
        <item x="77"/>
        <item x="68"/>
        <item x="72"/>
        <item x="75"/>
        <item x="80"/>
        <item x="69"/>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showAll="0"/>
    <pivotField dataField="1" numFmtId="9"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Average of Delivery Days" fld="12" subtotal="average" baseField="0" baseItem="0" numFmtId="2"/>
    <dataField name="Average of Return Rate" fld="13" subtotal="average" baseField="0" baseItem="0" numFmtId="9"/>
  </dataFields>
  <formats count="3">
    <format dxfId="3">
      <pivotArea outline="0" collapsedLevelsAreSubtotals="1" fieldPosition="0"/>
    </format>
    <format dxfId="2">
      <pivotArea dataOnly="0" labelOnly="1" outline="0" axis="axisValues" fieldPosition="0"/>
    </format>
    <format dxfId="1">
      <pivotArea type="all" dataOnly="0" outline="0"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I11" firstHeaderRow="0" firstDataRow="1" firstDataCol="1"/>
  <pivotFields count="25">
    <pivotField showAll="0"/>
    <pivotField numFmtId="164" showAll="0"/>
    <pivotField showAll="0"/>
    <pivotField dataField="1" showAll="0">
      <items count="21">
        <item x="11"/>
        <item x="19"/>
        <item x="12"/>
        <item x="1"/>
        <item x="2"/>
        <item x="15"/>
        <item x="16"/>
        <item x="13"/>
        <item x="14"/>
        <item x="8"/>
        <item x="17"/>
        <item x="3"/>
        <item x="4"/>
        <item x="6"/>
        <item x="18"/>
        <item x="10"/>
        <item x="5"/>
        <item x="0"/>
        <item x="9"/>
        <item x="7"/>
        <item t="default"/>
      </items>
    </pivotField>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dataField="1" showAll="0"/>
    <pivotField axis="axisRow" showAll="0">
      <items count="2">
        <item x="0"/>
        <item t="default"/>
      </items>
    </pivotField>
    <pivotField showAll="0"/>
    <pivotField showAll="0"/>
    <pivotField showAll="0"/>
    <pivotField showAll="0"/>
    <pivotField showAll="0"/>
    <pivotField dragToRow="0" dragToCol="0" dragToPage="0" showAll="0" defaultSubtotal="0"/>
  </pivotFields>
  <rowFields count="1">
    <field x="18"/>
  </rowFields>
  <rowItems count="2">
    <i>
      <x/>
    </i>
    <i t="grand">
      <x/>
    </i>
  </rowItems>
  <colFields count="1">
    <field x="-2"/>
  </colFields>
  <colItems count="3">
    <i>
      <x/>
    </i>
    <i i="1">
      <x v="1"/>
    </i>
    <i i="2">
      <x v="2"/>
    </i>
  </colItems>
  <dataFields count="3">
    <dataField name="Count of CustomerID" fld="3" subtotal="count" baseField="0" baseItem="0"/>
    <dataField name="Sum of Revenue" fld="15" baseField="0" baseItem="0"/>
    <dataField name="Sum of Profit" fld="17" baseField="0" baseItem="0"/>
  </dataFields>
  <formats count="2">
    <format dxfId="5">
      <pivotArea collapsedLevelsAreSubtotals="1" fieldPosition="0">
        <references count="2">
          <reference field="4294967294" count="1" selected="0">
            <x v="1"/>
          </reference>
          <reference field="18" count="0"/>
        </references>
      </pivotArea>
    </format>
    <format dxfId="4">
      <pivotArea field="18" grandRow="1" outline="0" collapsedLevelsAreSubtotals="1" axis="axisRow" fieldPosition="0">
        <references count="1">
          <reference field="4294967294" count="1" selected="0">
            <x v="1"/>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H7" firstHeaderRow="0" firstDataRow="1" firstDataCol="1"/>
  <pivotFields count="25">
    <pivotField showAll="0"/>
    <pivotField numFmtId="164" showAll="0"/>
    <pivotField showAll="0"/>
    <pivotField showAll="0"/>
    <pivotField showAll="0"/>
    <pivotField showAll="0"/>
    <pivotField showAll="0"/>
    <pivotField axis="axisRow" showAll="0">
      <items count="4">
        <item x="1"/>
        <item x="0"/>
        <item n="Office" x="2"/>
        <item t="default"/>
      </items>
    </pivotField>
    <pivotField showAll="0"/>
    <pivotField showAll="0"/>
    <pivotField showAll="0"/>
    <pivotField showAll="0"/>
    <pivotField showAll="0"/>
    <pivotField numFmtId="9" showAll="0"/>
    <pivotField showAll="0"/>
    <pivotField showAll="0"/>
    <pivotField showAll="0"/>
    <pivotField dataField="1" showAll="0"/>
    <pivotField showAll="0"/>
    <pivotField showAll="0"/>
    <pivotField showAll="0"/>
    <pivotField showAll="0"/>
    <pivotField showAll="0"/>
    <pivotField showAll="0"/>
    <pivotField dataField="1"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Profit" fld="17" baseField="0" baseItem="0"/>
    <dataField name="Sum of Profit Margin %" fld="24" baseField="0" baseItem="0"/>
  </dataFields>
  <formats count="4">
    <format dxfId="9">
      <pivotArea collapsedLevelsAreSubtotals="1" fieldPosition="0">
        <references count="2">
          <reference field="4294967294" count="1" selected="0">
            <x v="1"/>
          </reference>
          <reference field="7" count="1">
            <x v="2"/>
          </reference>
        </references>
      </pivotArea>
    </format>
    <format dxfId="8">
      <pivotArea collapsedLevelsAreSubtotals="1" fieldPosition="0">
        <references count="2">
          <reference field="4294967294" count="1" selected="0">
            <x v="1"/>
          </reference>
          <reference field="7" count="1">
            <x v="1"/>
          </reference>
        </references>
      </pivotArea>
    </format>
    <format dxfId="7">
      <pivotArea collapsedLevelsAreSubtotals="1" fieldPosition="0">
        <references count="2">
          <reference field="4294967294" count="1" selected="0">
            <x v="1"/>
          </reference>
          <reference field="7" count="1">
            <x v="1"/>
          </reference>
        </references>
      </pivotArea>
    </format>
    <format dxfId="6">
      <pivotArea collapsedLevelsAreSubtotals="1" fieldPosition="0">
        <references count="2">
          <reference field="4294967294" count="1" selected="0">
            <x v="1"/>
          </reference>
          <reference field="7" count="1">
            <x v="2"/>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5">
    <pivotField showAll="0"/>
    <pivotField numFmtId="164" showAll="0">
      <items count="91">
        <item x="25"/>
        <item x="22"/>
        <item x="11"/>
        <item x="4"/>
        <item x="29"/>
        <item x="8"/>
        <item x="14"/>
        <item x="10"/>
        <item x="27"/>
        <item x="16"/>
        <item x="12"/>
        <item x="18"/>
        <item x="3"/>
        <item x="7"/>
        <item x="0"/>
        <item x="24"/>
        <item x="1"/>
        <item x="20"/>
        <item x="23"/>
        <item x="5"/>
        <item x="13"/>
        <item x="26"/>
        <item x="17"/>
        <item x="28"/>
        <item x="21"/>
        <item x="6"/>
        <item x="2"/>
        <item x="19"/>
        <item x="15"/>
        <item x="9"/>
        <item x="48"/>
        <item x="59"/>
        <item x="40"/>
        <item x="43"/>
        <item x="55"/>
        <item x="38"/>
        <item x="39"/>
        <item x="36"/>
        <item x="37"/>
        <item x="30"/>
        <item x="57"/>
        <item x="34"/>
        <item x="51"/>
        <item x="32"/>
        <item x="56"/>
        <item x="46"/>
        <item x="44"/>
        <item x="45"/>
        <item x="33"/>
        <item x="53"/>
        <item x="52"/>
        <item x="54"/>
        <item x="47"/>
        <item x="58"/>
        <item x="49"/>
        <item x="31"/>
        <item x="41"/>
        <item x="42"/>
        <item x="35"/>
        <item x="50"/>
        <item x="60"/>
        <item x="81"/>
        <item x="63"/>
        <item x="73"/>
        <item x="64"/>
        <item x="67"/>
        <item x="85"/>
        <item x="61"/>
        <item x="87"/>
        <item x="86"/>
        <item x="78"/>
        <item x="71"/>
        <item x="74"/>
        <item x="82"/>
        <item x="83"/>
        <item x="79"/>
        <item x="66"/>
        <item x="88"/>
        <item x="65"/>
        <item x="62"/>
        <item x="84"/>
        <item x="70"/>
        <item x="89"/>
        <item x="76"/>
        <item x="77"/>
        <item x="68"/>
        <item x="72"/>
        <item x="75"/>
        <item x="80"/>
        <item x="69"/>
        <item t="default"/>
      </items>
    </pivotField>
    <pivotField axis="axisRow" showAll="0">
      <items count="5">
        <item x="2"/>
        <item x="3"/>
        <item x="0"/>
        <item x="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9" showAll="0"/>
    <pivotField showAll="0"/>
    <pivotField dataField="1" showAll="0"/>
    <pivotField showAll="0"/>
    <pivotField dataField="1" showAll="0"/>
    <pivotField showAll="0">
      <items count="2">
        <item x="0"/>
        <item t="default"/>
      </items>
    </pivotField>
    <pivotField showAll="0"/>
    <pivotField showAll="0"/>
    <pivotField showAll="0"/>
    <pivotField showAll="0"/>
    <pivotField showAll="0"/>
    <pivotField dragToRow="0" dragToCol="0" dragToPage="0" showAll="0" defaultSubtotal="0"/>
  </pivotFields>
  <rowFields count="1">
    <field x="2"/>
  </rowFields>
  <rowItems count="5">
    <i>
      <x/>
    </i>
    <i>
      <x v="1"/>
    </i>
    <i>
      <x v="2"/>
    </i>
    <i>
      <x v="3"/>
    </i>
    <i t="grand">
      <x/>
    </i>
  </rowItems>
  <colFields count="1">
    <field x="-2"/>
  </colFields>
  <colItems count="2">
    <i>
      <x/>
    </i>
    <i i="1">
      <x v="1"/>
    </i>
  </colItems>
  <dataFields count="2">
    <dataField name="Sum of Revenue" fld="15" baseField="0" baseItem="0"/>
    <dataField name="Sum of Profit" fld="17" baseField="0" baseItem="0"/>
  </dataFields>
  <formats count="2">
    <format dxfId="11">
      <pivotArea collapsedLevelsAreSubtotals="1" fieldPosition="0">
        <references count="2">
          <reference field="4294967294" count="1" selected="0">
            <x v="0"/>
          </reference>
          <reference field="2" count="1">
            <x v="2"/>
          </reference>
        </references>
      </pivotArea>
    </format>
    <format dxfId="10">
      <pivotArea field="2" grandRow="1" outline="0" collapsedLevelsAreSubtotals="1" axis="axisRow" fieldPosition="0">
        <references count="1">
          <reference field="4294967294" count="1" selected="0">
            <x v="0"/>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6" firstHeaderRow="1" firstDataRow="1" firstDataCol="1"/>
  <pivotFields count="25">
    <pivotField showAll="0"/>
    <pivotField numFmtId="164" showAll="0"/>
    <pivotField showAll="0"/>
    <pivotField showAll="0"/>
    <pivotField axis="axisRow" showAll="0" measureFilter="1">
      <items count="7">
        <item x="1"/>
        <item x="4"/>
        <item x="2"/>
        <item x="5"/>
        <item x="3"/>
        <item x="0"/>
        <item t="default"/>
      </items>
    </pivotField>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6">
    <i>
      <x/>
    </i>
    <i>
      <x v="1"/>
    </i>
    <i>
      <x v="2"/>
    </i>
    <i>
      <x v="3"/>
    </i>
    <i>
      <x v="5"/>
    </i>
    <i t="grand">
      <x/>
    </i>
  </rowItems>
  <colItems count="1">
    <i/>
  </colItems>
  <dataFields count="1">
    <dataField name="Sum of Revenue" fld="15" baseField="0" baseItem="0"/>
  </dataFields>
  <formats count="6">
    <format dxfId="17">
      <pivotArea collapsedLevelsAreSubtotals="1" fieldPosition="0">
        <references count="1">
          <reference field="4" count="1">
            <x v="0"/>
          </reference>
        </references>
      </pivotArea>
    </format>
    <format dxfId="16">
      <pivotArea collapsedLevelsAreSubtotals="1" fieldPosition="0">
        <references count="1">
          <reference field="4" count="1">
            <x v="1"/>
          </reference>
        </references>
      </pivotArea>
    </format>
    <format dxfId="15">
      <pivotArea collapsedLevelsAreSubtotals="1" fieldPosition="0">
        <references count="1">
          <reference field="4" count="1">
            <x v="2"/>
          </reference>
        </references>
      </pivotArea>
    </format>
    <format dxfId="14">
      <pivotArea collapsedLevelsAreSubtotals="1" fieldPosition="0">
        <references count="1">
          <reference field="4" count="1">
            <x v="5"/>
          </reference>
        </references>
      </pivotArea>
    </format>
    <format dxfId="13">
      <pivotArea grandRow="1" outline="0" collapsedLevelsAreSubtotals="1" fieldPosition="0"/>
    </format>
    <format dxfId="12">
      <pivotArea collapsedLevelsAreSubtotals="1" fieldPosition="0">
        <references count="1">
          <reference field="4" count="1">
            <x v="3"/>
          </reference>
        </references>
      </pivotArea>
    </format>
  </formats>
  <pivotTableStyleInfo name="PivotStyleMedium4"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e1" displayName="Table1" ref="K93:K94" totalsRowShown="0">
  <autoFilter ref="K93:K94"/>
  <tableColumns count="1">
    <tableColumn id="1" name="On-Time Delivery%">
      <calculatedColumnFormula>COUNTIF(Sales_All!M2:M91, "&lt;=5") / COUNTA(Sales_All!M2:M91)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dimension ref="A1:K17"/>
  <sheetViews>
    <sheetView tabSelected="1" zoomScale="54" workbookViewId="0">
      <selection activeCell="O12" sqref="O12"/>
    </sheetView>
  </sheetViews>
  <sheetFormatPr defaultRowHeight="15"/>
  <cols>
    <col min="1" max="1" width="13.7109375" bestFit="1" customWidth="1"/>
    <col min="2" max="2" width="16" bestFit="1" customWidth="1"/>
    <col min="3" max="3" width="12.7109375" bestFit="1" customWidth="1"/>
    <col min="5" max="5" width="8.85546875" customWidth="1"/>
    <col min="9" max="9" width="17.85546875" bestFit="1" customWidth="1"/>
    <col min="10" max="10" width="29" bestFit="1" customWidth="1"/>
    <col min="11" max="11" width="27.42578125" bestFit="1" customWidth="1"/>
  </cols>
  <sheetData>
    <row r="1" spans="1:11" ht="34.5" thickBot="1">
      <c r="A1" s="75" t="s">
        <v>195</v>
      </c>
      <c r="B1" s="76"/>
      <c r="C1" s="76"/>
      <c r="D1" s="76"/>
      <c r="E1" s="76"/>
      <c r="F1" s="76"/>
      <c r="G1" s="76"/>
      <c r="H1" s="76"/>
      <c r="I1" s="76"/>
      <c r="J1" s="76"/>
      <c r="K1" s="77"/>
    </row>
    <row r="2" spans="1:11">
      <c r="A2" s="69" t="s">
        <v>174</v>
      </c>
      <c r="B2" s="70">
        <f>AVERAGE(Operations!B:B)</f>
        <v>4.8888888888888893</v>
      </c>
      <c r="I2" s="57" t="s">
        <v>183</v>
      </c>
      <c r="J2" s="57" t="s">
        <v>189</v>
      </c>
      <c r="K2" s="57" t="s">
        <v>191</v>
      </c>
    </row>
    <row r="3" spans="1:11">
      <c r="A3" s="71" t="s">
        <v>175</v>
      </c>
      <c r="B3" s="72">
        <f>AVERAGE(Operations!C:C)</f>
        <v>5.0555555555555527E-2</v>
      </c>
      <c r="I3" s="60" t="s">
        <v>39</v>
      </c>
      <c r="J3" s="61">
        <v>4.3809523809523814</v>
      </c>
      <c r="K3" s="61">
        <v>5.5238095238095253E-2</v>
      </c>
    </row>
    <row r="4" spans="1:11">
      <c r="A4" s="73" t="s">
        <v>176</v>
      </c>
      <c r="B4" s="74">
        <f>COUNTIFS(Operations!B:B, "&lt;=5", Operations!C:C, "&lt;=0,05") / COUNTA(Operations!A:A)</f>
        <v>0.31868131868131866</v>
      </c>
      <c r="I4" s="60" t="s">
        <v>40</v>
      </c>
      <c r="J4" s="61">
        <v>4.5909090909090908</v>
      </c>
      <c r="K4" s="61">
        <v>4.6363636363636364E-2</v>
      </c>
    </row>
    <row r="5" spans="1:11">
      <c r="A5" s="2"/>
      <c r="I5" s="60" t="s">
        <v>37</v>
      </c>
      <c r="J5" s="61">
        <v>5.4347826086956523</v>
      </c>
      <c r="K5" s="61">
        <v>5.3478260869565239E-2</v>
      </c>
    </row>
    <row r="6" spans="1:11">
      <c r="A6" s="64" t="s">
        <v>192</v>
      </c>
      <c r="B6" s="65">
        <f>PivotTables!H11</f>
        <v>441262</v>
      </c>
      <c r="I6" s="60" t="s">
        <v>38</v>
      </c>
      <c r="J6" s="61">
        <v>5.083333333333333</v>
      </c>
      <c r="K6" s="61">
        <v>4.7500000000000007E-2</v>
      </c>
    </row>
    <row r="7" spans="1:11">
      <c r="A7" s="66" t="s">
        <v>166</v>
      </c>
      <c r="B7" s="67">
        <f>PivotTables!I11</f>
        <v>-726558</v>
      </c>
      <c r="I7" s="62" t="s">
        <v>184</v>
      </c>
      <c r="J7" s="63">
        <v>4.8888888888888893</v>
      </c>
      <c r="K7" s="63">
        <v>5.0555555555555527E-2</v>
      </c>
    </row>
    <row r="8" spans="1:11">
      <c r="A8" s="64" t="s">
        <v>193</v>
      </c>
      <c r="B8" s="67">
        <f>Sales_All!D8</f>
        <v>1017</v>
      </c>
    </row>
    <row r="9" spans="1:11">
      <c r="A9" s="64" t="s">
        <v>194</v>
      </c>
      <c r="B9" s="68">
        <f>Sales_All!K94</f>
        <v>0.58888888888888891</v>
      </c>
    </row>
    <row r="12" spans="1:11">
      <c r="A12" s="6" t="s">
        <v>183</v>
      </c>
      <c r="B12" t="s">
        <v>185</v>
      </c>
      <c r="C12" t="s">
        <v>186</v>
      </c>
    </row>
    <row r="13" spans="1:11">
      <c r="A13" s="18" t="s">
        <v>39</v>
      </c>
      <c r="B13" s="36">
        <v>104142</v>
      </c>
      <c r="C13" s="36">
        <v>-187454</v>
      </c>
    </row>
    <row r="14" spans="1:11">
      <c r="A14" s="18" t="s">
        <v>40</v>
      </c>
      <c r="B14" s="36">
        <v>87013</v>
      </c>
      <c r="C14" s="36">
        <v>-20092</v>
      </c>
    </row>
    <row r="15" spans="1:11">
      <c r="A15" s="18" t="s">
        <v>37</v>
      </c>
      <c r="B15" s="37">
        <v>124308</v>
      </c>
      <c r="C15" s="36">
        <v>-529381</v>
      </c>
    </row>
    <row r="16" spans="1:11">
      <c r="A16" s="18" t="s">
        <v>38</v>
      </c>
      <c r="B16" s="36">
        <v>125799</v>
      </c>
      <c r="C16" s="36">
        <v>10369</v>
      </c>
    </row>
    <row r="17" spans="1:3">
      <c r="A17" s="7" t="s">
        <v>184</v>
      </c>
      <c r="B17" s="9">
        <v>441262</v>
      </c>
      <c r="C17">
        <v>-726558</v>
      </c>
    </row>
  </sheetData>
  <mergeCells count="1">
    <mergeCell ref="A1:K1"/>
  </mergeCells>
  <pageMargins left="0.7" right="0.7" top="0.75" bottom="0.75" header="0.3" footer="0.3"/>
  <drawing r:id="rId3"/>
  <extLst>
    <ext xmlns:x14="http://schemas.microsoft.com/office/spreadsheetml/2009/9/main" uri="{A8765BA9-456A-4dab-B4F3-ACF838C121DE}">
      <x14:slicerList>
        <x14:slicer r:id=""/>
      </x14:slicerList>
    </ext>
    <ext xmlns:x15="http://schemas.microsoft.com/office/spreadsheetml/2010/11/main" uri="{7E03D99C-DC04-49d9-9315-930204A7B6E9}">
      <x15:timelineRefs>
        <x15:timelineRef r:id=""/>
      </x15:timelineRefs>
    </ext>
  </extLst>
</worksheet>
</file>

<file path=xl/worksheets/sheet2.xml><?xml version="1.0" encoding="utf-8"?>
<worksheet xmlns="http://schemas.openxmlformats.org/spreadsheetml/2006/main" xmlns:r="http://schemas.openxmlformats.org/officeDocument/2006/relationships">
  <dimension ref="A1:Y5250"/>
  <sheetViews>
    <sheetView zoomScale="72" zoomScaleNormal="160" workbookViewId="0">
      <selection activeCell="G3" sqref="G3"/>
    </sheetView>
  </sheetViews>
  <sheetFormatPr defaultRowHeight="15"/>
  <cols>
    <col min="1" max="1" width="8" style="3" customWidth="1"/>
    <col min="2" max="2" width="11.7109375" style="10" bestFit="1" customWidth="1"/>
    <col min="3" max="3" width="7.140625" style="3" customWidth="1"/>
    <col min="4" max="4" width="11.42578125" style="3" customWidth="1"/>
    <col min="5" max="5" width="12.140625" style="3" bestFit="1" customWidth="1"/>
    <col min="6" max="6" width="8.7109375" style="3" bestFit="1" customWidth="1"/>
    <col min="7" max="7" width="9.28515625" style="3" bestFit="1" customWidth="1"/>
    <col min="8" max="8" width="11.28515625" style="3" bestFit="1" customWidth="1"/>
    <col min="9" max="9" width="8.85546875" style="3"/>
    <col min="10" max="10" width="8.5703125" style="3" bestFit="1" customWidth="1"/>
    <col min="11" max="11" width="25.28515625" style="3" customWidth="1"/>
    <col min="12" max="12" width="11.42578125" style="3" bestFit="1" customWidth="1"/>
    <col min="13" max="13" width="13.140625" style="3" bestFit="1" customWidth="1"/>
    <col min="14" max="14" width="11.42578125" style="11" bestFit="1" customWidth="1"/>
    <col min="15" max="15" width="15.28515625" style="3" bestFit="1" customWidth="1"/>
    <col min="16" max="16" width="9.140625" style="3"/>
    <col min="17" max="17" width="20" style="3" bestFit="1" customWidth="1"/>
    <col min="19" max="19" width="22.140625" style="3" bestFit="1" customWidth="1"/>
    <col min="20" max="20" width="18.7109375" style="3" bestFit="1" customWidth="1"/>
    <col min="21" max="21" width="9.140625" style="3"/>
    <col min="22" max="22" width="12.28515625" style="3" bestFit="1" customWidth="1"/>
    <col min="23" max="23" width="25.28515625" style="3" bestFit="1" customWidth="1"/>
    <col min="24" max="24" width="53.28515625" style="3" bestFit="1" customWidth="1"/>
    <col min="25" max="25" width="32" bestFit="1" customWidth="1"/>
  </cols>
  <sheetData>
    <row r="1" spans="1:25">
      <c r="A1" s="38" t="s">
        <v>0</v>
      </c>
      <c r="B1" s="38" t="s">
        <v>1</v>
      </c>
      <c r="C1" s="38" t="s">
        <v>2</v>
      </c>
      <c r="D1" s="38" t="s">
        <v>3</v>
      </c>
      <c r="E1" s="38" t="s">
        <v>4</v>
      </c>
      <c r="F1" s="38" t="s">
        <v>5</v>
      </c>
      <c r="G1" s="38" t="s">
        <v>6</v>
      </c>
      <c r="H1" s="38" t="str" cm="1">
        <f t="array" ref="H1:K1">_xlfn.XLOOKUP(E1,Products!A:A,Products!B:E)</f>
        <v>Category</v>
      </c>
      <c r="I1" s="38" t="str">
        <v>UnitPrice</v>
      </c>
      <c r="J1" s="38" t="str">
        <v>UnitCost</v>
      </c>
      <c r="K1" s="38" t="str">
        <v>Discount</v>
      </c>
      <c r="L1" s="38" t="s">
        <v>168</v>
      </c>
      <c r="M1" s="38" t="s">
        <v>171</v>
      </c>
      <c r="N1" s="38" t="s">
        <v>172</v>
      </c>
      <c r="O1" s="38" t="s">
        <v>173</v>
      </c>
      <c r="P1" s="38" t="s">
        <v>167</v>
      </c>
      <c r="Q1" s="38" t="s">
        <v>177</v>
      </c>
      <c r="R1" s="38" t="s">
        <v>166</v>
      </c>
      <c r="S1" s="38" t="s">
        <v>178</v>
      </c>
      <c r="T1" s="38" t="s">
        <v>179</v>
      </c>
      <c r="U1" s="38" t="s">
        <v>2</v>
      </c>
      <c r="V1" s="38" t="s">
        <v>180</v>
      </c>
      <c r="W1" s="38" t="s">
        <v>181</v>
      </c>
      <c r="X1" s="38" t="s">
        <v>182</v>
      </c>
      <c r="Y1" s="2"/>
    </row>
    <row r="2" spans="1:25">
      <c r="A2" s="39" t="s">
        <v>7</v>
      </c>
      <c r="B2" s="40">
        <v>45708.027094907397</v>
      </c>
      <c r="C2" s="39" t="s">
        <v>37</v>
      </c>
      <c r="D2" s="41">
        <v>1018</v>
      </c>
      <c r="E2" s="39" t="s">
        <v>41</v>
      </c>
      <c r="F2" s="41">
        <v>1</v>
      </c>
      <c r="G2" s="39">
        <v>730</v>
      </c>
      <c r="H2" s="41" t="str" cm="1">
        <f t="array" ref="H2:K2">_xlfn.XLOOKUP(E2,Products!A:A,Products!B:E)</f>
        <v>Electronics</v>
      </c>
      <c r="I2" s="39">
        <v>1613</v>
      </c>
      <c r="J2" s="41">
        <v>492</v>
      </c>
      <c r="K2" s="39">
        <v>0.14000000000000001</v>
      </c>
      <c r="L2" s="41">
        <f>(F2 * I2 * (1 - K2)) - (F2 * J2)</f>
        <v>895.18000000000006</v>
      </c>
      <c r="M2" s="39">
        <f>_xlfn.XLOOKUP(A2, Operations!A:A, Operations!B:B)</f>
        <v>5</v>
      </c>
      <c r="N2" s="42">
        <f>_xlfn.XLOOKUP(A2, Operations!A:A, Operations!C:C)</f>
        <v>0.01</v>
      </c>
      <c r="O2" s="39" t="str">
        <f>IF(AND(M2&lt;=5, N2&lt;=0.05), "High Efficiency", "Low Efficiency")</f>
        <v>High Efficiency</v>
      </c>
      <c r="P2" s="41">
        <f>F2*G2</f>
        <v>730</v>
      </c>
      <c r="Q2" s="39">
        <f>P2*(1-K2%)</f>
        <v>728.97800000000007</v>
      </c>
      <c r="R2" s="41">
        <f>P2-(F2-J2)-(Finance!B2+Finance!C2+Finance!D2)</f>
        <v>-105993</v>
      </c>
      <c r="S2" s="39" t="str" cm="1">
        <f t="array" ref="S2">_xlfn.IFS(Q2&gt;50000, "VIP", Q2&gt;=20000, "Regular", Q2&lt;20000, "Low Value")</f>
        <v>Low Value</v>
      </c>
      <c r="T2" s="43" t="s">
        <v>42</v>
      </c>
      <c r="U2" s="39" t="s">
        <v>37</v>
      </c>
      <c r="V2" s="41">
        <f>COUNTIF(C:C, "South")</f>
        <v>23</v>
      </c>
      <c r="W2" s="39">
        <f>AVERAGEIF($C:$C, "South",$M:$M)</f>
        <v>5.4347826086956523</v>
      </c>
      <c r="X2" s="41" t="str" cm="1">
        <f t="array" ref="X2">_xlfn.TEXTJOIN(", ", TRUE, _xlfn.UNIQUE(_xlfn._xlws.FILTER(Sales_All!$E$2:$E$91, Sales_All!$D$2:$D$91 = D2, "")))</f>
        <v>Tablet, Smartphone, Headphones, Monitor, Laptop</v>
      </c>
    </row>
    <row r="3" spans="1:25">
      <c r="A3" s="44" t="s">
        <v>8</v>
      </c>
      <c r="B3" s="40">
        <v>45712.236793981479</v>
      </c>
      <c r="C3" s="44" t="s">
        <v>37</v>
      </c>
      <c r="D3" s="41">
        <v>1004</v>
      </c>
      <c r="E3" s="44" t="s">
        <v>42</v>
      </c>
      <c r="F3" s="41">
        <v>3</v>
      </c>
      <c r="G3" s="44">
        <v>378</v>
      </c>
      <c r="H3" s="41" t="str" cm="1">
        <f t="array" ref="H3:K3">_xlfn.XLOOKUP(E3,Products!A:A,Products!B:E)</f>
        <v>Accessories</v>
      </c>
      <c r="I3" s="44">
        <v>106</v>
      </c>
      <c r="J3" s="41">
        <v>323</v>
      </c>
      <c r="K3" s="44">
        <v>0.1</v>
      </c>
      <c r="L3" s="41">
        <f t="shared" ref="L3:L7" si="0">(F3 * I3 * (1 - K3)) - (F3 * J3)</f>
        <v>-682.8</v>
      </c>
      <c r="M3" s="44">
        <f>_xlfn.XLOOKUP(A3, Operations!A:A, Operations!B:B)</f>
        <v>2</v>
      </c>
      <c r="N3" s="42">
        <f>_xlfn.XLOOKUP(A3, Operations!A:A, Operations!C:C)</f>
        <v>0.03</v>
      </c>
      <c r="O3" s="44" t="str">
        <f t="shared" ref="O3:O66" si="1">IF(AND(M3&lt;=5, N3&lt;=0.05), "High Efficiency", "Low Efficiency")</f>
        <v>High Efficiency</v>
      </c>
      <c r="P3" s="41">
        <f t="shared" ref="P3:P66" si="2">F3*G3</f>
        <v>1134</v>
      </c>
      <c r="Q3" s="44">
        <f t="shared" ref="Q3:Q66" si="3">P3*(1-K3%)</f>
        <v>1132.866</v>
      </c>
      <c r="R3" s="41">
        <f>P3-(F3-J3)-(Finance!B3+Finance!C3+Finance!D3)</f>
        <v>-140123</v>
      </c>
      <c r="S3" s="44" t="str" cm="1">
        <f t="array" ref="S3">_xlfn.IFS(Q3&gt;50000, "VIP", Q3&gt;=20000, "Regular", Q3&lt;20000, "Low Value")</f>
        <v>Low Value</v>
      </c>
      <c r="T3" s="43" t="s">
        <v>42</v>
      </c>
      <c r="U3" s="44" t="s">
        <v>38</v>
      </c>
      <c r="V3" s="41">
        <f>COUNTIF(C:C, "West")</f>
        <v>24</v>
      </c>
      <c r="W3" s="39">
        <f>AVERAGEIF($C:$C, "West",$M:$M)</f>
        <v>5.083333333333333</v>
      </c>
      <c r="X3" s="41" t="str" cm="1">
        <f t="array" ref="X3">_xlfn.TEXTJOIN(", ", TRUE, _xlfn.UNIQUE(_xlfn._xlws.FILTER(Sales_All!$E$2:$E$91, Sales_All!$D$2:$D$91 = D3, "")))</f>
        <v>Headphones, Printer, Laptop</v>
      </c>
    </row>
    <row r="4" spans="1:25">
      <c r="A4" s="39" t="s">
        <v>9</v>
      </c>
      <c r="B4" s="40">
        <v>45736.268287037034</v>
      </c>
      <c r="C4" s="39" t="s">
        <v>38</v>
      </c>
      <c r="D4" s="41">
        <v>1005</v>
      </c>
      <c r="E4" s="39" t="s">
        <v>43</v>
      </c>
      <c r="F4" s="41">
        <v>1</v>
      </c>
      <c r="G4" s="39">
        <v>585</v>
      </c>
      <c r="H4" s="41" t="str" cm="1">
        <f t="array" ref="H4:K4">_xlfn.XLOOKUP(E4,Products!A:A,Products!B:E)</f>
        <v>Electronics</v>
      </c>
      <c r="I4" s="39">
        <v>396</v>
      </c>
      <c r="J4" s="41">
        <v>463</v>
      </c>
      <c r="K4" s="39">
        <v>0.23</v>
      </c>
      <c r="L4" s="41">
        <f t="shared" si="0"/>
        <v>-158.07999999999998</v>
      </c>
      <c r="M4" s="39">
        <f>_xlfn.XLOOKUP(A4, Operations!A:A, Operations!B:B)</f>
        <v>6</v>
      </c>
      <c r="N4" s="42">
        <f>_xlfn.XLOOKUP(A4, Operations!A:A, Operations!C:C)</f>
        <v>0.05</v>
      </c>
      <c r="O4" s="39" t="str">
        <f t="shared" si="1"/>
        <v>Low Efficiency</v>
      </c>
      <c r="P4" s="41">
        <f t="shared" si="2"/>
        <v>585</v>
      </c>
      <c r="Q4" s="39">
        <f t="shared" si="3"/>
        <v>583.65449999999998</v>
      </c>
      <c r="R4" s="41">
        <f>P4-(F4-J4)-(Finance!B4+Finance!C4+Finance!D4)</f>
        <v>-114728</v>
      </c>
      <c r="S4" s="39" t="str" cm="1">
        <f t="array" ref="S4">_xlfn.IFS(Q4&gt;50000, "VIP", Q4&gt;=20000, "Regular", Q4&lt;20000, "Low Value")</f>
        <v>Low Value</v>
      </c>
      <c r="T4" s="43" t="s">
        <v>43</v>
      </c>
      <c r="U4" s="39" t="s">
        <v>39</v>
      </c>
      <c r="V4" s="41">
        <f>COUNTIF(C:C, "East")</f>
        <v>21</v>
      </c>
      <c r="W4" s="39">
        <f>AVERAGEIF($C:$C, "East",$M:$M)</f>
        <v>4.3809523809523814</v>
      </c>
      <c r="X4" s="41" t="str" cm="1">
        <f t="array" ref="X4">_xlfn.TEXTJOIN(", ", TRUE, _xlfn.UNIQUE(_xlfn._xlws.FILTER(Sales_All!$E$2:$E$91, Sales_All!$D$2:$D$91 = D4, "")))</f>
        <v>Monitor, Printer, Tablet</v>
      </c>
    </row>
    <row r="5" spans="1:25">
      <c r="A5" s="44" t="s">
        <v>10</v>
      </c>
      <c r="B5" s="40">
        <v>45703.571203703701</v>
      </c>
      <c r="C5" s="44" t="s">
        <v>39</v>
      </c>
      <c r="D5" s="41">
        <v>1018</v>
      </c>
      <c r="E5" s="44" t="s">
        <v>44</v>
      </c>
      <c r="F5" s="41">
        <v>8</v>
      </c>
      <c r="G5" s="44">
        <v>726</v>
      </c>
      <c r="H5" s="41" t="str" cm="1">
        <f t="array" ref="H5:K5">_xlfn.XLOOKUP(E5,Products!A:A,Products!B:E)</f>
        <v>Electronics</v>
      </c>
      <c r="I5" s="44">
        <v>1402</v>
      </c>
      <c r="J5" s="41">
        <v>97</v>
      </c>
      <c r="K5" s="44">
        <v>0.08</v>
      </c>
      <c r="L5" s="41">
        <f t="shared" si="0"/>
        <v>9542.7200000000012</v>
      </c>
      <c r="M5" s="44">
        <f>_xlfn.XLOOKUP(A5, Operations!A:A, Operations!B:B)</f>
        <v>4</v>
      </c>
      <c r="N5" s="42">
        <f>_xlfn.XLOOKUP(A5, Operations!A:A, Operations!C:C)</f>
        <v>7.0000000000000007E-2</v>
      </c>
      <c r="O5" s="44" t="str">
        <f t="shared" si="1"/>
        <v>Low Efficiency</v>
      </c>
      <c r="P5" s="41">
        <f t="shared" si="2"/>
        <v>5808</v>
      </c>
      <c r="Q5" s="44">
        <f t="shared" si="3"/>
        <v>5803.3535999999995</v>
      </c>
      <c r="R5" s="41">
        <f>P5-(F5-J5)-(Finance!B5+Finance!C5+Finance!D5)</f>
        <v>-150352</v>
      </c>
      <c r="S5" s="44" t="str" cm="1">
        <f t="array" ref="S5">_xlfn.IFS(Q5&gt;50000, "VIP", Q5&gt;=20000, "Regular", Q5&lt;20000, "Low Value")</f>
        <v>Low Value</v>
      </c>
      <c r="T5" s="43" t="s">
        <v>45</v>
      </c>
      <c r="U5" s="44" t="s">
        <v>40</v>
      </c>
      <c r="V5" s="41">
        <f>COUNTIF(C:C, "North")</f>
        <v>22</v>
      </c>
      <c r="W5" s="39">
        <f>AVERAGEIF($C:$C, "North",$M:$M)</f>
        <v>4.5909090909090908</v>
      </c>
      <c r="X5" s="41" t="str" cm="1">
        <f t="array" ref="X5">_xlfn.TEXTJOIN(", ", TRUE, _xlfn.UNIQUE(_xlfn._xlws.FILTER(Sales_All!$E$2:$E$91, Sales_All!$D$2:$D$91 = D5, "")))</f>
        <v>Tablet, Smartphone, Headphones, Monitor, Laptop</v>
      </c>
    </row>
    <row r="6" spans="1:25">
      <c r="A6" s="39" t="s">
        <v>11</v>
      </c>
      <c r="B6" s="40">
        <v>45663.685914351852</v>
      </c>
      <c r="C6" s="39" t="s">
        <v>40</v>
      </c>
      <c r="D6" s="41">
        <v>1012</v>
      </c>
      <c r="E6" s="39" t="s">
        <v>45</v>
      </c>
      <c r="F6" s="41">
        <v>2</v>
      </c>
      <c r="G6" s="39">
        <v>709</v>
      </c>
      <c r="H6" s="41" t="str" cm="1">
        <f t="array" ref="H6:K6">_xlfn.XLOOKUP(E6,Products!A:A,Products!B:E)</f>
        <v>Electronics</v>
      </c>
      <c r="I6" s="39">
        <v>1299</v>
      </c>
      <c r="J6" s="41">
        <v>469</v>
      </c>
      <c r="K6" s="39">
        <v>0.22</v>
      </c>
      <c r="L6" s="41">
        <f t="shared" si="0"/>
        <v>1088.44</v>
      </c>
      <c r="M6" s="39">
        <f>_xlfn.XLOOKUP(A6, Operations!A:A, Operations!B:B)</f>
        <v>5</v>
      </c>
      <c r="N6" s="42">
        <f>_xlfn.XLOOKUP(A6, Operations!A:A, Operations!C:C)</f>
        <v>0.03</v>
      </c>
      <c r="O6" s="39" t="str">
        <f t="shared" si="1"/>
        <v>High Efficiency</v>
      </c>
      <c r="P6" s="41">
        <f t="shared" si="2"/>
        <v>1418</v>
      </c>
      <c r="Q6" s="39">
        <f t="shared" si="3"/>
        <v>1414.8804</v>
      </c>
      <c r="R6" s="41">
        <f>P6-(F6-J6)-(Finance!B6+Finance!C6+Finance!D6)</f>
        <v>-105603</v>
      </c>
      <c r="S6" s="39" t="str" cm="1">
        <f t="array" ref="S6">_xlfn.IFS(Q6&gt;50000, "VIP", Q6&gt;=20000, "Regular", Q6&lt;20000, "Low Value")</f>
        <v>Low Value</v>
      </c>
      <c r="T6" s="43"/>
      <c r="U6" s="39"/>
      <c r="V6" s="41"/>
      <c r="W6" s="39"/>
      <c r="X6" s="41" t="str" cm="1">
        <f t="array" ref="X6">_xlfn.TEXTJOIN(", ", TRUE, _xlfn.UNIQUE(_xlfn._xlws.FILTER(Sales_All!$E$2:$E$91, Sales_All!$D$2:$D$91 = D6, "")))</f>
        <v>Laptop, Headphones, Printer, Monitor</v>
      </c>
    </row>
    <row r="7" spans="1:25">
      <c r="A7" s="45" t="s">
        <v>12</v>
      </c>
      <c r="B7" s="40">
        <v>45716.226770833331</v>
      </c>
      <c r="C7" s="45" t="s">
        <v>39</v>
      </c>
      <c r="D7" s="41">
        <v>1013</v>
      </c>
      <c r="E7" s="45" t="s">
        <v>45</v>
      </c>
      <c r="F7" s="41">
        <v>8</v>
      </c>
      <c r="G7" s="45">
        <v>1817</v>
      </c>
      <c r="H7" s="41" t="str" cm="1">
        <f t="array" ref="H7:K7">_xlfn.XLOOKUP(E7,Products!A:A,Products!B:E)</f>
        <v>Electronics</v>
      </c>
      <c r="I7" s="45">
        <v>1299</v>
      </c>
      <c r="J7" s="41">
        <v>469</v>
      </c>
      <c r="K7" s="45">
        <v>0.22</v>
      </c>
      <c r="L7" s="41">
        <f t="shared" si="0"/>
        <v>4353.76</v>
      </c>
      <c r="M7" s="45">
        <f>_xlfn.XLOOKUP(A7, Operations!A:A, Operations!B:B)</f>
        <v>5</v>
      </c>
      <c r="N7" s="42">
        <f>_xlfn.XLOOKUP(A7, Operations!A:A, Operations!C:C)</f>
        <v>0.06</v>
      </c>
      <c r="O7" s="45" t="str">
        <f t="shared" si="1"/>
        <v>Low Efficiency</v>
      </c>
      <c r="P7" s="41">
        <f t="shared" si="2"/>
        <v>14536</v>
      </c>
      <c r="Q7" s="45">
        <f t="shared" si="3"/>
        <v>14504.0208</v>
      </c>
      <c r="R7" s="41">
        <f>P7-(F7-J7)-(Finance!B7+Finance!C7+Finance!D7)</f>
        <v>-120805</v>
      </c>
      <c r="S7" s="45" t="str" cm="1">
        <f t="array" ref="S7">_xlfn.IFS(Q7&gt;50000, "VIP", Q7&gt;=20000, "Regular", Q7&lt;20000, "Low Value")</f>
        <v>Low Value</v>
      </c>
      <c r="T7" s="43"/>
      <c r="U7" s="45"/>
      <c r="V7" s="41"/>
      <c r="W7" s="45"/>
      <c r="X7" s="41" t="str" cm="1">
        <f t="array" ref="X7">_xlfn.TEXTJOIN(", ", TRUE, _xlfn.UNIQUE(_xlfn._xlws.FILTER(Sales_All!$E$2:$E$91, Sales_All!$D$2:$D$91 = D7, "")))</f>
        <v>Laptop, Printer</v>
      </c>
    </row>
    <row r="8" spans="1:25">
      <c r="A8" s="45" t="s">
        <v>13</v>
      </c>
      <c r="B8" s="40">
        <v>45735.116423611107</v>
      </c>
      <c r="C8" s="45" t="s">
        <v>37</v>
      </c>
      <c r="D8" s="41">
        <v>1017</v>
      </c>
      <c r="E8" s="45" t="s">
        <v>41</v>
      </c>
      <c r="F8" s="41">
        <v>9</v>
      </c>
      <c r="G8" s="45">
        <v>1976</v>
      </c>
      <c r="H8" s="41"/>
      <c r="I8" s="45"/>
      <c r="J8" s="41"/>
      <c r="K8" s="45"/>
      <c r="L8" s="41"/>
      <c r="M8" s="45">
        <f>_xlfn.XLOOKUP(A8, Operations!A:A, Operations!B:B)</f>
        <v>4</v>
      </c>
      <c r="N8" s="42">
        <f>_xlfn.XLOOKUP(A8, Operations!A:A, Operations!C:C)</f>
        <v>0.02</v>
      </c>
      <c r="O8" s="45" t="str">
        <f t="shared" si="1"/>
        <v>High Efficiency</v>
      </c>
      <c r="P8" s="41">
        <f t="shared" si="2"/>
        <v>17784</v>
      </c>
      <c r="Q8" s="45">
        <f t="shared" si="3"/>
        <v>17784</v>
      </c>
      <c r="R8" s="41">
        <f>P8-(F8-J8)-(Finance!B8+Finance!C8+Finance!D8)</f>
        <v>-107279</v>
      </c>
      <c r="S8" s="45" t="str" cm="1">
        <f t="array" ref="S8">_xlfn.IFS(Q8&gt;50000, "VIP", Q8&gt;=20000, "Regular", Q8&lt;20000, "Low Value")</f>
        <v>Low Value</v>
      </c>
      <c r="T8" s="43"/>
      <c r="U8" s="45"/>
      <c r="V8" s="41"/>
      <c r="W8" s="45"/>
      <c r="X8" s="41" t="str" cm="1">
        <f t="array" ref="X8">_xlfn.TEXTJOIN(", ", TRUE, _xlfn.UNIQUE(_xlfn._xlws.FILTER(Sales_All!$E$2:$E$91, Sales_All!$D$2:$D$91 = D8, "")))</f>
        <v>Tablet, Laptop, Printer, Smartphone</v>
      </c>
    </row>
    <row r="9" spans="1:25">
      <c r="A9" s="44" t="s">
        <v>14</v>
      </c>
      <c r="B9" s="40">
        <v>45707.394131944442</v>
      </c>
      <c r="C9" s="44" t="s">
        <v>37</v>
      </c>
      <c r="D9" s="41">
        <v>1014</v>
      </c>
      <c r="E9" s="44" t="s">
        <v>41</v>
      </c>
      <c r="F9" s="41">
        <v>5</v>
      </c>
      <c r="G9" s="44">
        <v>1134</v>
      </c>
      <c r="H9" s="41"/>
      <c r="I9" s="44"/>
      <c r="J9" s="41"/>
      <c r="K9" s="44"/>
      <c r="L9" s="41"/>
      <c r="M9" s="44">
        <f>_xlfn.XLOOKUP(A9, Operations!A:A, Operations!B:B)</f>
        <v>8</v>
      </c>
      <c r="N9" s="42">
        <f>_xlfn.XLOOKUP(A9, Operations!A:A, Operations!C:C)</f>
        <v>7.0000000000000007E-2</v>
      </c>
      <c r="O9" s="44" t="str">
        <f t="shared" si="1"/>
        <v>Low Efficiency</v>
      </c>
      <c r="P9" s="41">
        <f t="shared" si="2"/>
        <v>5670</v>
      </c>
      <c r="Q9" s="44">
        <f t="shared" si="3"/>
        <v>5670</v>
      </c>
      <c r="R9" s="41">
        <f>P9-(F9-J9)-(Finance!B9+Finance!C9+Finance!D9)</f>
        <v>-141059</v>
      </c>
      <c r="S9" s="44" t="str" cm="1">
        <f t="array" ref="S9">_xlfn.IFS(Q9&gt;50000, "VIP", Q9&gt;=20000, "Regular", Q9&lt;20000, "Low Value")</f>
        <v>Low Value</v>
      </c>
      <c r="T9" s="43"/>
      <c r="U9" s="44"/>
      <c r="V9" s="41"/>
      <c r="W9" s="44"/>
      <c r="X9" s="41" t="str" cm="1">
        <f t="array" ref="X9">_xlfn.TEXTJOIN(", ", TRUE, _xlfn.UNIQUE(_xlfn._xlws.FILTER(Sales_All!$E$2:$E$91, Sales_All!$D$2:$D$91 = D9, "")))</f>
        <v>Tablet, Monitor, Headphones</v>
      </c>
    </row>
    <row r="10" spans="1:25">
      <c r="A10" s="39" t="s">
        <v>15</v>
      </c>
      <c r="B10" s="40">
        <v>45671.497210648151</v>
      </c>
      <c r="C10" s="39" t="s">
        <v>37</v>
      </c>
      <c r="D10" s="41">
        <v>1020</v>
      </c>
      <c r="E10" s="39" t="s">
        <v>46</v>
      </c>
      <c r="F10" s="41">
        <v>1</v>
      </c>
      <c r="G10" s="39">
        <v>1220</v>
      </c>
      <c r="H10" s="41"/>
      <c r="I10" s="39"/>
      <c r="J10" s="41"/>
      <c r="K10" s="39"/>
      <c r="L10" s="41"/>
      <c r="M10" s="39">
        <f>_xlfn.XLOOKUP(A10, Operations!A:A, Operations!B:B)</f>
        <v>2</v>
      </c>
      <c r="N10" s="42">
        <f>_xlfn.XLOOKUP(A10, Operations!A:A, Operations!C:C)</f>
        <v>0.08</v>
      </c>
      <c r="O10" s="39" t="str">
        <f t="shared" si="1"/>
        <v>Low Efficiency</v>
      </c>
      <c r="P10" s="41">
        <f t="shared" si="2"/>
        <v>1220</v>
      </c>
      <c r="Q10" s="39">
        <f t="shared" si="3"/>
        <v>1220</v>
      </c>
      <c r="R10" s="41">
        <f>P10-(F10-J10)-(Finance!B10+Finance!C10+Finance!D10)</f>
        <v>-132619</v>
      </c>
      <c r="S10" s="39" t="str" cm="1">
        <f t="array" ref="S10">_xlfn.IFS(Q10&gt;50000, "VIP", Q10&gt;=20000, "Regular", Q10&lt;20000, "Low Value")</f>
        <v>Low Value</v>
      </c>
      <c r="T10" s="43"/>
      <c r="U10" s="39"/>
      <c r="V10" s="41"/>
      <c r="W10" s="39"/>
      <c r="X10" s="41" t="str" cm="1">
        <f t="array" ref="X10">_xlfn.TEXTJOIN(", ", TRUE, _xlfn.UNIQUE(_xlfn._xlws.FILTER(Sales_All!$E$2:$E$91, Sales_All!$D$2:$D$91 = D10, "")))</f>
        <v>Printer, Headphones, Laptop</v>
      </c>
    </row>
    <row r="11" spans="1:25">
      <c r="A11" s="44" t="s">
        <v>16</v>
      </c>
      <c r="B11" s="40">
        <v>45743.202222222222</v>
      </c>
      <c r="C11" s="44" t="s">
        <v>38</v>
      </c>
      <c r="D11" s="41">
        <v>1010</v>
      </c>
      <c r="E11" s="44" t="s">
        <v>42</v>
      </c>
      <c r="F11" s="41">
        <v>2</v>
      </c>
      <c r="G11" s="44">
        <v>283</v>
      </c>
      <c r="H11" s="41"/>
      <c r="I11" s="44"/>
      <c r="J11" s="41"/>
      <c r="K11" s="44"/>
      <c r="L11" s="41"/>
      <c r="M11" s="44">
        <f>_xlfn.XLOOKUP(A11, Operations!A:A, Operations!B:B)</f>
        <v>2</v>
      </c>
      <c r="N11" s="42">
        <f>_xlfn.XLOOKUP(A11, Operations!A:A, Operations!C:C)</f>
        <v>0.08</v>
      </c>
      <c r="O11" s="44" t="str">
        <f t="shared" si="1"/>
        <v>Low Efficiency</v>
      </c>
      <c r="P11" s="41">
        <f t="shared" si="2"/>
        <v>566</v>
      </c>
      <c r="Q11" s="44">
        <f t="shared" si="3"/>
        <v>566</v>
      </c>
      <c r="R11" s="41">
        <f>P11-(F11-J11)-(Finance!B11+Finance!C11+Finance!D11)</f>
        <v>564</v>
      </c>
      <c r="S11" s="44" t="str" cm="1">
        <f t="array" ref="S11">_xlfn.IFS(Q11&gt;50000, "VIP", Q11&gt;=20000, "Regular", Q11&lt;20000, "Low Value")</f>
        <v>Low Value</v>
      </c>
      <c r="T11" s="43"/>
      <c r="U11" s="44"/>
      <c r="V11" s="41"/>
      <c r="W11" s="44"/>
      <c r="X11" s="41" t="str" cm="1">
        <f t="array" ref="X11">_xlfn.TEXTJOIN(", ", TRUE, _xlfn.UNIQUE(_xlfn._xlws.FILTER(Sales_All!$E$2:$E$91, Sales_All!$D$2:$D$91 = D11, "")))</f>
        <v>Headphones, Smartphone, Monitor, Printer</v>
      </c>
    </row>
    <row r="12" spans="1:25">
      <c r="A12" s="39" t="s">
        <v>17</v>
      </c>
      <c r="B12" s="40">
        <v>45684.929074074083</v>
      </c>
      <c r="C12" s="39" t="s">
        <v>38</v>
      </c>
      <c r="D12" s="41">
        <v>1019</v>
      </c>
      <c r="E12" s="39" t="s">
        <v>45</v>
      </c>
      <c r="F12" s="41">
        <v>9</v>
      </c>
      <c r="G12" s="39">
        <v>417</v>
      </c>
      <c r="H12" s="41"/>
      <c r="I12" s="39"/>
      <c r="J12" s="41"/>
      <c r="K12" s="39"/>
      <c r="L12" s="41"/>
      <c r="M12" s="39">
        <f>_xlfn.XLOOKUP(A12, Operations!A:A, Operations!B:B)</f>
        <v>8</v>
      </c>
      <c r="N12" s="42">
        <f>_xlfn.XLOOKUP(A12, Operations!A:A, Operations!C:C)</f>
        <v>0.06</v>
      </c>
      <c r="O12" s="39" t="str">
        <f t="shared" si="1"/>
        <v>Low Efficiency</v>
      </c>
      <c r="P12" s="41">
        <f t="shared" si="2"/>
        <v>3753</v>
      </c>
      <c r="Q12" s="39">
        <f t="shared" si="3"/>
        <v>3753</v>
      </c>
      <c r="R12" s="41">
        <f>P12-(F12-J12)-(Finance!B12+Finance!C12+Finance!D12)</f>
        <v>3744</v>
      </c>
      <c r="S12" s="39" t="str" cm="1">
        <f t="array" ref="S12">_xlfn.IFS(Q12&gt;50000, "VIP", Q12&gt;=20000, "Regular", Q12&lt;20000, "Low Value")</f>
        <v>Low Value</v>
      </c>
      <c r="T12" s="43"/>
      <c r="U12" s="39"/>
      <c r="V12" s="41"/>
      <c r="W12" s="39"/>
      <c r="X12" s="41" t="str" cm="1">
        <f t="array" ref="X12">_xlfn.TEXTJOIN(", ", TRUE, _xlfn.UNIQUE(_xlfn._xlws.FILTER(Sales_All!$E$2:$E$91, Sales_All!$D$2:$D$91 = D12, "")))</f>
        <v>Laptop, Headphones, Tablet, Monitor</v>
      </c>
    </row>
    <row r="13" spans="1:25">
      <c r="A13" s="44" t="s">
        <v>18</v>
      </c>
      <c r="B13" s="40">
        <v>45662.789641203701</v>
      </c>
      <c r="C13" s="44" t="s">
        <v>37</v>
      </c>
      <c r="D13" s="41">
        <v>1016</v>
      </c>
      <c r="E13" s="44" t="s">
        <v>45</v>
      </c>
      <c r="F13" s="41">
        <v>3</v>
      </c>
      <c r="G13" s="44">
        <v>1692</v>
      </c>
      <c r="H13" s="41"/>
      <c r="I13" s="44"/>
      <c r="J13" s="41"/>
      <c r="K13" s="44"/>
      <c r="L13" s="41"/>
      <c r="M13" s="44">
        <f>_xlfn.XLOOKUP(A13, Operations!A:A, Operations!B:B)</f>
        <v>8</v>
      </c>
      <c r="N13" s="42">
        <f>_xlfn.XLOOKUP(A13, Operations!A:A, Operations!C:C)</f>
        <v>0.03</v>
      </c>
      <c r="O13" s="44" t="str">
        <f t="shared" si="1"/>
        <v>Low Efficiency</v>
      </c>
      <c r="P13" s="41">
        <f t="shared" si="2"/>
        <v>5076</v>
      </c>
      <c r="Q13" s="44">
        <f t="shared" si="3"/>
        <v>5076</v>
      </c>
      <c r="R13" s="41">
        <f>P13-(F13-J13)-(Finance!B13+Finance!C13+Finance!D13)</f>
        <v>5073</v>
      </c>
      <c r="S13" s="44" t="str" cm="1">
        <f t="array" ref="S13">_xlfn.IFS(Q13&gt;50000, "VIP", Q13&gt;=20000, "Regular", Q13&lt;20000, "Low Value")</f>
        <v>Low Value</v>
      </c>
      <c r="T13" s="43"/>
      <c r="U13" s="44"/>
      <c r="V13" s="41"/>
      <c r="W13" s="44"/>
      <c r="X13" s="41" t="str" cm="1">
        <f t="array" ref="X13">_xlfn.TEXTJOIN(", ", TRUE, _xlfn.UNIQUE(_xlfn._xlws.FILTER(Sales_All!$E$2:$E$91, Sales_All!$D$2:$D$91 = D13, "")))</f>
        <v>Laptop, Monitor, Tablet</v>
      </c>
    </row>
    <row r="14" spans="1:25">
      <c r="A14" s="39" t="s">
        <v>19</v>
      </c>
      <c r="B14" s="40">
        <v>45693.460138888891</v>
      </c>
      <c r="C14" s="39" t="s">
        <v>39</v>
      </c>
      <c r="D14" s="41">
        <v>1001</v>
      </c>
      <c r="E14" s="39" t="s">
        <v>46</v>
      </c>
      <c r="F14" s="41">
        <v>4</v>
      </c>
      <c r="G14" s="39">
        <v>1853</v>
      </c>
      <c r="H14" s="41"/>
      <c r="I14" s="39"/>
      <c r="J14" s="41"/>
      <c r="K14" s="39"/>
      <c r="L14" s="41"/>
      <c r="M14" s="39">
        <f>_xlfn.XLOOKUP(A14, Operations!A:A, Operations!B:B)</f>
        <v>1</v>
      </c>
      <c r="N14" s="42">
        <f>_xlfn.XLOOKUP(A14, Operations!A:A, Operations!C:C)</f>
        <v>7.0000000000000007E-2</v>
      </c>
      <c r="O14" s="39" t="str">
        <f t="shared" si="1"/>
        <v>Low Efficiency</v>
      </c>
      <c r="P14" s="41">
        <f t="shared" si="2"/>
        <v>7412</v>
      </c>
      <c r="Q14" s="39">
        <f t="shared" si="3"/>
        <v>7412</v>
      </c>
      <c r="R14" s="41">
        <f>P14-(F14-J14)-(Finance!B14+Finance!C14+Finance!D14)</f>
        <v>7408</v>
      </c>
      <c r="S14" s="39" t="str" cm="1">
        <f t="array" ref="S14">_xlfn.IFS(Q14&gt;50000, "VIP", Q14&gt;=20000, "Regular", Q14&lt;20000, "Low Value")</f>
        <v>Low Value</v>
      </c>
      <c r="T14" s="43"/>
      <c r="U14" s="39"/>
      <c r="V14" s="41"/>
      <c r="W14" s="39"/>
      <c r="X14" s="41" t="str" cm="1">
        <f t="array" ref="X14">_xlfn.TEXTJOIN(", ", TRUE, _xlfn.UNIQUE(_xlfn._xlws.FILTER(Sales_All!$E$2:$E$91, Sales_All!$D$2:$D$91 = D14, "")))</f>
        <v>Printer, Monitor, Smartphone, Headphones, Laptop</v>
      </c>
    </row>
    <row r="15" spans="1:25">
      <c r="A15" s="44" t="s">
        <v>20</v>
      </c>
      <c r="B15" s="40">
        <v>45717.254155092603</v>
      </c>
      <c r="C15" s="44" t="s">
        <v>37</v>
      </c>
      <c r="D15" s="41">
        <v>1005</v>
      </c>
      <c r="E15" s="44" t="s">
        <v>46</v>
      </c>
      <c r="F15" s="41">
        <v>2</v>
      </c>
      <c r="G15" s="44">
        <v>505</v>
      </c>
      <c r="H15" s="41"/>
      <c r="I15" s="44"/>
      <c r="J15" s="41"/>
      <c r="K15" s="44"/>
      <c r="L15" s="41"/>
      <c r="M15" s="44">
        <f>_xlfn.XLOOKUP(A15, Operations!A:A, Operations!B:B)</f>
        <v>3</v>
      </c>
      <c r="N15" s="42">
        <f>_xlfn.XLOOKUP(A15, Operations!A:A, Operations!C:C)</f>
        <v>0.09</v>
      </c>
      <c r="O15" s="44" t="str">
        <f t="shared" si="1"/>
        <v>Low Efficiency</v>
      </c>
      <c r="P15" s="41">
        <f t="shared" si="2"/>
        <v>1010</v>
      </c>
      <c r="Q15" s="44">
        <f t="shared" si="3"/>
        <v>1010</v>
      </c>
      <c r="R15" s="41">
        <f>P15-(F15-J15)-(Finance!B15+Finance!C15+Finance!D15)</f>
        <v>1008</v>
      </c>
      <c r="S15" s="44" t="str" cm="1">
        <f t="array" ref="S15">_xlfn.IFS(Q15&gt;50000, "VIP", Q15&gt;=20000, "Regular", Q15&lt;20000, "Low Value")</f>
        <v>Low Value</v>
      </c>
      <c r="T15" s="43"/>
      <c r="U15" s="44"/>
      <c r="V15" s="41"/>
      <c r="W15" s="44"/>
      <c r="X15" s="41" t="str" cm="1">
        <f t="array" ref="X15">_xlfn.TEXTJOIN(", ", TRUE, _xlfn.UNIQUE(_xlfn._xlws.FILTER(Sales_All!$E$2:$E$91, Sales_All!$D$2:$D$91 = D15, "")))</f>
        <v>Monitor, Printer, Tablet</v>
      </c>
    </row>
    <row r="16" spans="1:25">
      <c r="A16" s="39" t="s">
        <v>21</v>
      </c>
      <c r="B16" s="40">
        <v>45672.072662037041</v>
      </c>
      <c r="C16" s="39" t="s">
        <v>37</v>
      </c>
      <c r="D16" s="41">
        <v>1016</v>
      </c>
      <c r="E16" s="39" t="s">
        <v>43</v>
      </c>
      <c r="F16" s="41">
        <v>3</v>
      </c>
      <c r="G16" s="39">
        <v>1355</v>
      </c>
      <c r="H16" s="41"/>
      <c r="I16" s="39"/>
      <c r="J16" s="41"/>
      <c r="K16" s="39"/>
      <c r="L16" s="41"/>
      <c r="M16" s="39">
        <f>_xlfn.XLOOKUP(A16, Operations!A:A, Operations!B:B)</f>
        <v>4</v>
      </c>
      <c r="N16" s="42">
        <f>_xlfn.XLOOKUP(A16, Operations!A:A, Operations!C:C)</f>
        <v>0.06</v>
      </c>
      <c r="O16" s="39" t="str">
        <f t="shared" si="1"/>
        <v>Low Efficiency</v>
      </c>
      <c r="P16" s="41">
        <f t="shared" si="2"/>
        <v>4065</v>
      </c>
      <c r="Q16" s="39">
        <f t="shared" si="3"/>
        <v>4065</v>
      </c>
      <c r="R16" s="41">
        <f>P16-(F16-J16)-(Finance!B16+Finance!C16+Finance!D16)</f>
        <v>4062</v>
      </c>
      <c r="S16" s="39" t="str" cm="1">
        <f t="array" ref="S16">_xlfn.IFS(Q16&gt;50000, "VIP", Q16&gt;=20000, "Regular", Q16&lt;20000, "Low Value")</f>
        <v>Low Value</v>
      </c>
      <c r="T16" s="43"/>
      <c r="U16" s="39"/>
      <c r="V16" s="41"/>
      <c r="W16" s="39"/>
      <c r="X16" s="41" t="str" cm="1">
        <f t="array" ref="X16">_xlfn.TEXTJOIN(", ", TRUE, _xlfn.UNIQUE(_xlfn._xlws.FILTER(Sales_All!$E$2:$E$91, Sales_All!$D$2:$D$91 = D16, "")))</f>
        <v>Laptop, Monitor, Tablet</v>
      </c>
    </row>
    <row r="17" spans="1:24">
      <c r="A17" s="44" t="s">
        <v>22</v>
      </c>
      <c r="B17" s="40">
        <v>45742.873171296298</v>
      </c>
      <c r="C17" s="44" t="s">
        <v>40</v>
      </c>
      <c r="D17" s="41">
        <v>1003</v>
      </c>
      <c r="E17" s="44" t="s">
        <v>46</v>
      </c>
      <c r="F17" s="41">
        <v>8</v>
      </c>
      <c r="G17" s="44">
        <v>1220</v>
      </c>
      <c r="H17" s="41"/>
      <c r="I17" s="44"/>
      <c r="J17" s="41"/>
      <c r="K17" s="44"/>
      <c r="L17" s="41"/>
      <c r="M17" s="44">
        <f>_xlfn.XLOOKUP(A17, Operations!A:A, Operations!B:B)</f>
        <v>3</v>
      </c>
      <c r="N17" s="42">
        <f>_xlfn.XLOOKUP(A17, Operations!A:A, Operations!C:C)</f>
        <v>0.1</v>
      </c>
      <c r="O17" s="44" t="str">
        <f t="shared" si="1"/>
        <v>Low Efficiency</v>
      </c>
      <c r="P17" s="41">
        <f t="shared" si="2"/>
        <v>9760</v>
      </c>
      <c r="Q17" s="44">
        <f t="shared" si="3"/>
        <v>9760</v>
      </c>
      <c r="R17" s="41">
        <f>P17-(F17-J17)-(Finance!B17+Finance!C17+Finance!D17)</f>
        <v>9752</v>
      </c>
      <c r="S17" s="44" t="str" cm="1">
        <f t="array" ref="S17">_xlfn.IFS(Q17&gt;50000, "VIP", Q17&gt;=20000, "Regular", Q17&lt;20000, "Low Value")</f>
        <v>Low Value</v>
      </c>
      <c r="T17" s="43"/>
      <c r="U17" s="44"/>
      <c r="V17" s="41"/>
      <c r="W17" s="44"/>
      <c r="X17" s="41" t="str" cm="1">
        <f t="array" ref="X17">_xlfn.TEXTJOIN(", ", TRUE, _xlfn.UNIQUE(_xlfn._xlws.FILTER(Sales_All!$E$2:$E$91, Sales_All!$D$2:$D$91 = D17, "")))</f>
        <v>Printer, Monitor, Headphones</v>
      </c>
    </row>
    <row r="18" spans="1:24">
      <c r="A18" s="39" t="s">
        <v>23</v>
      </c>
      <c r="B18" s="40">
        <v>45688.213564814818</v>
      </c>
      <c r="C18" s="39" t="s">
        <v>40</v>
      </c>
      <c r="D18" s="41">
        <v>1008</v>
      </c>
      <c r="E18" s="39" t="s">
        <v>44</v>
      </c>
      <c r="F18" s="41">
        <v>3</v>
      </c>
      <c r="G18" s="39">
        <v>605</v>
      </c>
      <c r="H18" s="41"/>
      <c r="I18" s="39"/>
      <c r="J18" s="41"/>
      <c r="K18" s="39"/>
      <c r="L18" s="41"/>
      <c r="M18" s="39">
        <f>_xlfn.XLOOKUP(A18, Operations!A:A, Operations!B:B)</f>
        <v>6</v>
      </c>
      <c r="N18" s="42">
        <f>_xlfn.XLOOKUP(A18, Operations!A:A, Operations!C:C)</f>
        <v>0.1</v>
      </c>
      <c r="O18" s="39" t="str">
        <f t="shared" si="1"/>
        <v>Low Efficiency</v>
      </c>
      <c r="P18" s="41">
        <f t="shared" si="2"/>
        <v>1815</v>
      </c>
      <c r="Q18" s="39">
        <f t="shared" si="3"/>
        <v>1815</v>
      </c>
      <c r="R18" s="41">
        <f>P18-(F18-J18)-(Finance!B18+Finance!C18+Finance!D18)</f>
        <v>1812</v>
      </c>
      <c r="S18" s="39" t="str" cm="1">
        <f t="array" ref="S18">_xlfn.IFS(Q18&gt;50000, "VIP", Q18&gt;=20000, "Regular", Q18&lt;20000, "Low Value")</f>
        <v>Low Value</v>
      </c>
      <c r="T18" s="43"/>
      <c r="U18" s="39"/>
      <c r="V18" s="41"/>
      <c r="W18" s="39"/>
      <c r="X18" s="41" t="str" cm="1">
        <f t="array" ref="X18">_xlfn.TEXTJOIN(", ", TRUE, _xlfn.UNIQUE(_xlfn._xlws.FILTER(Sales_All!$E$2:$E$91, Sales_All!$D$2:$D$91 = D18, "")))</f>
        <v>Smartphone, Headphones, Laptop</v>
      </c>
    </row>
    <row r="19" spans="1:24">
      <c r="A19" s="44" t="s">
        <v>24</v>
      </c>
      <c r="B19" s="40">
        <v>45718.933310185188</v>
      </c>
      <c r="C19" s="44" t="s">
        <v>37</v>
      </c>
      <c r="D19" s="41">
        <v>1009</v>
      </c>
      <c r="E19" s="44" t="s">
        <v>43</v>
      </c>
      <c r="F19" s="41">
        <v>7</v>
      </c>
      <c r="G19" s="44">
        <v>1149</v>
      </c>
      <c r="H19" s="41"/>
      <c r="I19" s="44"/>
      <c r="J19" s="41"/>
      <c r="K19" s="44"/>
      <c r="L19" s="41"/>
      <c r="M19" s="44">
        <f>_xlfn.XLOOKUP(A19, Operations!A:A, Operations!B:B)</f>
        <v>9</v>
      </c>
      <c r="N19" s="42">
        <f>_xlfn.XLOOKUP(A19, Operations!A:A, Operations!C:C)</f>
        <v>0.02</v>
      </c>
      <c r="O19" s="44" t="str">
        <f t="shared" si="1"/>
        <v>Low Efficiency</v>
      </c>
      <c r="P19" s="41">
        <f t="shared" si="2"/>
        <v>8043</v>
      </c>
      <c r="Q19" s="44">
        <f t="shared" si="3"/>
        <v>8043</v>
      </c>
      <c r="R19" s="41">
        <f>P19-(F19-J19)-(Finance!B19+Finance!C19+Finance!D19)</f>
        <v>8036</v>
      </c>
      <c r="S19" s="44" t="str" cm="1">
        <f t="array" ref="S19">_xlfn.IFS(Q19&gt;50000, "VIP", Q19&gt;=20000, "Regular", Q19&lt;20000, "Low Value")</f>
        <v>Low Value</v>
      </c>
      <c r="T19" s="43"/>
      <c r="U19" s="44"/>
      <c r="V19" s="41"/>
      <c r="W19" s="44"/>
      <c r="X19" s="41" t="str" cm="1">
        <f t="array" ref="X19">_xlfn.TEXTJOIN(", ", TRUE, _xlfn.UNIQUE(_xlfn._xlws.FILTER(Sales_All!$E$2:$E$91, Sales_All!$D$2:$D$91 = D19, "")))</f>
        <v>Monitor, Headphones, Smartphone, Laptop, Printer</v>
      </c>
    </row>
    <row r="20" spans="1:24">
      <c r="A20" s="39" t="s">
        <v>25</v>
      </c>
      <c r="B20" s="40">
        <v>45696.451539351852</v>
      </c>
      <c r="C20" s="39" t="s">
        <v>40</v>
      </c>
      <c r="D20" s="41">
        <v>1010</v>
      </c>
      <c r="E20" s="39" t="s">
        <v>42</v>
      </c>
      <c r="F20" s="41">
        <v>1</v>
      </c>
      <c r="G20" s="39">
        <v>1621</v>
      </c>
      <c r="H20" s="41"/>
      <c r="I20" s="39"/>
      <c r="J20" s="41"/>
      <c r="K20" s="39"/>
      <c r="L20" s="41"/>
      <c r="M20" s="39">
        <f>_xlfn.XLOOKUP(A20, Operations!A:A, Operations!B:B)</f>
        <v>2</v>
      </c>
      <c r="N20" s="42">
        <f>_xlfn.XLOOKUP(A20, Operations!A:A, Operations!C:C)</f>
        <v>0</v>
      </c>
      <c r="O20" s="39" t="str">
        <f t="shared" si="1"/>
        <v>High Efficiency</v>
      </c>
      <c r="P20" s="41">
        <f t="shared" si="2"/>
        <v>1621</v>
      </c>
      <c r="Q20" s="39">
        <f t="shared" si="3"/>
        <v>1621</v>
      </c>
      <c r="R20" s="41">
        <f>P20-(F20-J20)-(Finance!B20+Finance!C20+Finance!D20)</f>
        <v>1620</v>
      </c>
      <c r="S20" s="39" t="str" cm="1">
        <f t="array" ref="S20">_xlfn.IFS(Q20&gt;50000, "VIP", Q20&gt;=20000, "Regular", Q20&lt;20000, "Low Value")</f>
        <v>Low Value</v>
      </c>
      <c r="T20" s="43"/>
      <c r="U20" s="39"/>
      <c r="V20" s="41"/>
      <c r="W20" s="39"/>
      <c r="X20" s="41" t="str" cm="1">
        <f t="array" ref="X20">_xlfn.TEXTJOIN(", ", TRUE, _xlfn.UNIQUE(_xlfn._xlws.FILTER(Sales_All!$E$2:$E$91, Sales_All!$D$2:$D$91 = D20, "")))</f>
        <v>Headphones, Smartphone, Monitor, Printer</v>
      </c>
    </row>
    <row r="21" spans="1:24">
      <c r="A21" s="44" t="s">
        <v>26</v>
      </c>
      <c r="B21" s="40">
        <v>45738.816504629627</v>
      </c>
      <c r="C21" s="44" t="s">
        <v>40</v>
      </c>
      <c r="D21" s="41">
        <v>1004</v>
      </c>
      <c r="E21" s="44" t="s">
        <v>46</v>
      </c>
      <c r="F21" s="41">
        <v>3</v>
      </c>
      <c r="G21" s="44">
        <v>1010</v>
      </c>
      <c r="H21" s="41"/>
      <c r="I21" s="44"/>
      <c r="J21" s="41"/>
      <c r="K21" s="44"/>
      <c r="L21" s="41"/>
      <c r="M21" s="44">
        <f>_xlfn.XLOOKUP(A21, Operations!A:A, Operations!B:B)</f>
        <v>1</v>
      </c>
      <c r="N21" s="42">
        <f>_xlfn.XLOOKUP(A21, Operations!A:A, Operations!C:C)</f>
        <v>0.02</v>
      </c>
      <c r="O21" s="44" t="str">
        <f t="shared" si="1"/>
        <v>High Efficiency</v>
      </c>
      <c r="P21" s="41">
        <f t="shared" si="2"/>
        <v>3030</v>
      </c>
      <c r="Q21" s="44">
        <f t="shared" si="3"/>
        <v>3030</v>
      </c>
      <c r="R21" s="41">
        <f>P21-(F21-J21)-(Finance!B21+Finance!C21+Finance!D21)</f>
        <v>3027</v>
      </c>
      <c r="S21" s="44" t="str" cm="1">
        <f t="array" ref="S21">_xlfn.IFS(Q21&gt;50000, "VIP", Q21&gt;=20000, "Regular", Q21&lt;20000, "Low Value")</f>
        <v>Low Value</v>
      </c>
      <c r="T21" s="43"/>
      <c r="U21" s="44"/>
      <c r="V21" s="41"/>
      <c r="W21" s="44"/>
      <c r="X21" s="41" t="str" cm="1">
        <f t="array" ref="X21">_xlfn.TEXTJOIN(", ", TRUE, _xlfn.UNIQUE(_xlfn._xlws.FILTER(Sales_All!$E$2:$E$91, Sales_All!$D$2:$D$91 = D21, "")))</f>
        <v>Headphones, Printer, Laptop</v>
      </c>
    </row>
    <row r="22" spans="1:24">
      <c r="A22" s="39" t="s">
        <v>27</v>
      </c>
      <c r="B22" s="40">
        <v>45713.211342592593</v>
      </c>
      <c r="C22" s="39" t="s">
        <v>37</v>
      </c>
      <c r="D22" s="41">
        <v>1008</v>
      </c>
      <c r="E22" s="39" t="s">
        <v>42</v>
      </c>
      <c r="F22" s="41">
        <v>7</v>
      </c>
      <c r="G22" s="39">
        <v>241</v>
      </c>
      <c r="H22" s="41"/>
      <c r="I22" s="39"/>
      <c r="J22" s="41"/>
      <c r="K22" s="39"/>
      <c r="L22" s="41"/>
      <c r="M22" s="39">
        <f>_xlfn.XLOOKUP(A22, Operations!A:A, Operations!B:B)</f>
        <v>8</v>
      </c>
      <c r="N22" s="42">
        <f>_xlfn.XLOOKUP(A22, Operations!A:A, Operations!C:C)</f>
        <v>0.09</v>
      </c>
      <c r="O22" s="39" t="str">
        <f t="shared" si="1"/>
        <v>Low Efficiency</v>
      </c>
      <c r="P22" s="41">
        <f t="shared" si="2"/>
        <v>1687</v>
      </c>
      <c r="Q22" s="39">
        <f t="shared" si="3"/>
        <v>1687</v>
      </c>
      <c r="R22" s="41">
        <f>P22-(F22-J22)-(Finance!B22+Finance!C22+Finance!D22)</f>
        <v>1680</v>
      </c>
      <c r="S22" s="39" t="str" cm="1">
        <f t="array" ref="S22">_xlfn.IFS(Q22&gt;50000, "VIP", Q22&gt;=20000, "Regular", Q22&lt;20000, "Low Value")</f>
        <v>Low Value</v>
      </c>
      <c r="T22" s="43"/>
      <c r="U22" s="39"/>
      <c r="V22" s="41"/>
      <c r="W22" s="39"/>
      <c r="X22" s="41" t="str" cm="1">
        <f t="array" ref="X22">_xlfn.TEXTJOIN(", ", TRUE, _xlfn.UNIQUE(_xlfn._xlws.FILTER(Sales_All!$E$2:$E$91, Sales_All!$D$2:$D$91 = D22, "")))</f>
        <v>Smartphone, Headphones, Laptop</v>
      </c>
    </row>
    <row r="23" spans="1:24">
      <c r="A23" s="44" t="s">
        <v>28</v>
      </c>
      <c r="B23" s="40">
        <v>45723.977905092594</v>
      </c>
      <c r="C23" s="44" t="s">
        <v>38</v>
      </c>
      <c r="D23" s="41">
        <v>1005</v>
      </c>
      <c r="E23" s="44" t="s">
        <v>46</v>
      </c>
      <c r="F23" s="41">
        <v>7</v>
      </c>
      <c r="G23" s="44">
        <v>1336</v>
      </c>
      <c r="H23" s="41"/>
      <c r="I23" s="44"/>
      <c r="J23" s="41"/>
      <c r="K23" s="44"/>
      <c r="L23" s="41"/>
      <c r="M23" s="44">
        <f>_xlfn.XLOOKUP(A23, Operations!A:A, Operations!B:B)</f>
        <v>7</v>
      </c>
      <c r="N23" s="42">
        <f>_xlfn.XLOOKUP(A23, Operations!A:A, Operations!C:C)</f>
        <v>0.1</v>
      </c>
      <c r="O23" s="44" t="str">
        <f t="shared" si="1"/>
        <v>Low Efficiency</v>
      </c>
      <c r="P23" s="41">
        <f t="shared" si="2"/>
        <v>9352</v>
      </c>
      <c r="Q23" s="44">
        <f t="shared" si="3"/>
        <v>9352</v>
      </c>
      <c r="R23" s="41">
        <f>P23-(F23-J23)-(Finance!B23+Finance!C23+Finance!D23)</f>
        <v>9345</v>
      </c>
      <c r="S23" s="44" t="str" cm="1">
        <f t="array" ref="S23">_xlfn.IFS(Q23&gt;50000, "VIP", Q23&gt;=20000, "Regular", Q23&lt;20000, "Low Value")</f>
        <v>Low Value</v>
      </c>
      <c r="T23" s="43"/>
      <c r="U23" s="44"/>
      <c r="V23" s="41"/>
      <c r="W23" s="44"/>
      <c r="X23" s="41" t="str" cm="1">
        <f t="array" ref="X23">_xlfn.TEXTJOIN(", ", TRUE, _xlfn.UNIQUE(_xlfn._xlws.FILTER(Sales_All!$E$2:$E$91, Sales_All!$D$2:$D$91 = D23, "")))</f>
        <v>Monitor, Printer, Tablet</v>
      </c>
    </row>
    <row r="24" spans="1:24">
      <c r="A24" s="39" t="s">
        <v>29</v>
      </c>
      <c r="B24" s="40">
        <v>45662.648842592593</v>
      </c>
      <c r="C24" s="39" t="s">
        <v>38</v>
      </c>
      <c r="D24" s="41">
        <v>1006</v>
      </c>
      <c r="E24" s="39" t="s">
        <v>45</v>
      </c>
      <c r="F24" s="41">
        <v>3</v>
      </c>
      <c r="G24" s="39">
        <v>1752</v>
      </c>
      <c r="H24" s="41"/>
      <c r="I24" s="39"/>
      <c r="J24" s="41"/>
      <c r="K24" s="39"/>
      <c r="L24" s="41"/>
      <c r="M24" s="39">
        <f>_xlfn.XLOOKUP(A24, Operations!A:A, Operations!B:B)</f>
        <v>3</v>
      </c>
      <c r="N24" s="42">
        <f>_xlfn.XLOOKUP(A24, Operations!A:A, Operations!C:C)</f>
        <v>0.02</v>
      </c>
      <c r="O24" s="39" t="str">
        <f t="shared" si="1"/>
        <v>High Efficiency</v>
      </c>
      <c r="P24" s="41">
        <f t="shared" si="2"/>
        <v>5256</v>
      </c>
      <c r="Q24" s="39">
        <f t="shared" si="3"/>
        <v>5256</v>
      </c>
      <c r="R24" s="41">
        <f>P24-(F24-J24)-(Finance!B24+Finance!C24+Finance!D24)</f>
        <v>5253</v>
      </c>
      <c r="S24" s="39" t="str" cm="1">
        <f t="array" ref="S24">_xlfn.IFS(Q24&gt;50000, "VIP", Q24&gt;=20000, "Regular", Q24&lt;20000, "Low Value")</f>
        <v>Low Value</v>
      </c>
      <c r="T24" s="43"/>
      <c r="U24" s="39"/>
      <c r="V24" s="41"/>
      <c r="W24" s="39"/>
      <c r="X24" s="41" t="str" cm="1">
        <f t="array" ref="X24">_xlfn.TEXTJOIN(", ", TRUE, _xlfn.UNIQUE(_xlfn._xlws.FILTER(Sales_All!$E$2:$E$91, Sales_All!$D$2:$D$91 = D24, "")))</f>
        <v>Laptop, Headphones, Monitor</v>
      </c>
    </row>
    <row r="25" spans="1:24">
      <c r="A25" s="44" t="s">
        <v>30</v>
      </c>
      <c r="B25" s="40">
        <v>45715.878263888888</v>
      </c>
      <c r="C25" s="44" t="s">
        <v>39</v>
      </c>
      <c r="D25" s="41">
        <v>1020</v>
      </c>
      <c r="E25" s="44" t="s">
        <v>42</v>
      </c>
      <c r="F25" s="41">
        <v>8</v>
      </c>
      <c r="G25" s="44">
        <v>911</v>
      </c>
      <c r="H25" s="41"/>
      <c r="I25" s="44"/>
      <c r="J25" s="41"/>
      <c r="K25" s="44"/>
      <c r="L25" s="41"/>
      <c r="M25" s="44">
        <f>_xlfn.XLOOKUP(A25, Operations!A:A, Operations!B:B)</f>
        <v>1</v>
      </c>
      <c r="N25" s="42">
        <f>_xlfn.XLOOKUP(A25, Operations!A:A, Operations!C:C)</f>
        <v>0.04</v>
      </c>
      <c r="O25" s="44" t="str">
        <f t="shared" si="1"/>
        <v>High Efficiency</v>
      </c>
      <c r="P25" s="41">
        <f t="shared" si="2"/>
        <v>7288</v>
      </c>
      <c r="Q25" s="44">
        <f t="shared" si="3"/>
        <v>7288</v>
      </c>
      <c r="R25" s="41">
        <f>P25-(F25-J25)-(Finance!B25+Finance!C25+Finance!D25)</f>
        <v>7280</v>
      </c>
      <c r="S25" s="44" t="str" cm="1">
        <f t="array" ref="S25">_xlfn.IFS(Q25&gt;50000, "VIP", Q25&gt;=20000, "Regular", Q25&lt;20000, "Low Value")</f>
        <v>Low Value</v>
      </c>
      <c r="T25" s="43"/>
      <c r="U25" s="44"/>
      <c r="V25" s="41"/>
      <c r="W25" s="44"/>
      <c r="X25" s="41" t="str" cm="1">
        <f t="array" ref="X25">_xlfn.TEXTJOIN(", ", TRUE, _xlfn.UNIQUE(_xlfn._xlws.FILTER(Sales_All!$E$2:$E$91, Sales_All!$D$2:$D$91 = D25, "")))</f>
        <v>Printer, Headphones, Laptop</v>
      </c>
    </row>
    <row r="26" spans="1:24">
      <c r="A26" s="45" t="s">
        <v>31</v>
      </c>
      <c r="B26" s="40">
        <v>45710.772175925929</v>
      </c>
      <c r="C26" s="45" t="s">
        <v>37</v>
      </c>
      <c r="D26" s="41">
        <v>1007</v>
      </c>
      <c r="E26" s="45" t="s">
        <v>43</v>
      </c>
      <c r="F26" s="41">
        <v>8</v>
      </c>
      <c r="G26" s="45">
        <v>1770</v>
      </c>
      <c r="H26" s="41"/>
      <c r="I26" s="45"/>
      <c r="J26" s="41"/>
      <c r="K26" s="45"/>
      <c r="L26" s="41"/>
      <c r="M26" s="45">
        <f>_xlfn.XLOOKUP(A26, Operations!A:A, Operations!B:B)</f>
        <v>9</v>
      </c>
      <c r="N26" s="42">
        <f>_xlfn.XLOOKUP(A26, Operations!A:A, Operations!C:C)</f>
        <v>0.05</v>
      </c>
      <c r="O26" s="45" t="str">
        <f t="shared" si="1"/>
        <v>Low Efficiency</v>
      </c>
      <c r="P26" s="41">
        <f t="shared" si="2"/>
        <v>14160</v>
      </c>
      <c r="Q26" s="45">
        <f t="shared" si="3"/>
        <v>14160</v>
      </c>
      <c r="R26" s="41">
        <f>P26-(F26-J26)-(Finance!B26+Finance!C26+Finance!D26)</f>
        <v>14152</v>
      </c>
      <c r="S26" s="45" t="str" cm="1">
        <f t="array" ref="S26">_xlfn.IFS(Q26&gt;50000, "VIP", Q26&gt;=20000, "Regular", Q26&lt;20000, "Low Value")</f>
        <v>Low Value</v>
      </c>
      <c r="T26" s="43"/>
      <c r="U26" s="45"/>
      <c r="V26" s="41"/>
      <c r="W26" s="45"/>
      <c r="X26" s="41" t="str" cm="1">
        <f t="array" ref="X26">_xlfn.TEXTJOIN(", ", TRUE, _xlfn.UNIQUE(_xlfn._xlws.FILTER(Sales_All!$E$2:$E$91, Sales_All!$D$2:$D$91 = D26, "")))</f>
        <v>Monitor, Laptop, Smartphone</v>
      </c>
    </row>
    <row r="27" spans="1:24">
      <c r="A27" s="44" t="s">
        <v>32</v>
      </c>
      <c r="B27" s="40">
        <v>45660.179594907408</v>
      </c>
      <c r="C27" s="44" t="s">
        <v>40</v>
      </c>
      <c r="D27" s="41">
        <v>1009</v>
      </c>
      <c r="E27" s="44" t="s">
        <v>42</v>
      </c>
      <c r="F27" s="41">
        <v>1</v>
      </c>
      <c r="G27" s="44">
        <v>1841</v>
      </c>
      <c r="H27" s="41"/>
      <c r="I27" s="44"/>
      <c r="J27" s="41"/>
      <c r="K27" s="44"/>
      <c r="L27" s="41"/>
      <c r="M27" s="44">
        <f>_xlfn.XLOOKUP(A27, Operations!A:A, Operations!B:B)</f>
        <v>3</v>
      </c>
      <c r="N27" s="42">
        <f>_xlfn.XLOOKUP(A27, Operations!A:A, Operations!C:C)</f>
        <v>0.03</v>
      </c>
      <c r="O27" s="44" t="str">
        <f t="shared" si="1"/>
        <v>High Efficiency</v>
      </c>
      <c r="P27" s="41">
        <f t="shared" si="2"/>
        <v>1841</v>
      </c>
      <c r="Q27" s="44">
        <f t="shared" si="3"/>
        <v>1841</v>
      </c>
      <c r="R27" s="41">
        <f>P27-(F27-J27)-(Finance!B27+Finance!C27+Finance!D27)</f>
        <v>1840</v>
      </c>
      <c r="S27" s="44" t="str" cm="1">
        <f t="array" ref="S27">_xlfn.IFS(Q27&gt;50000, "VIP", Q27&gt;=20000, "Regular", Q27&lt;20000, "Low Value")</f>
        <v>Low Value</v>
      </c>
      <c r="T27" s="43"/>
      <c r="U27" s="44"/>
      <c r="V27" s="41"/>
      <c r="W27" s="44"/>
      <c r="X27" s="41" t="str" cm="1">
        <f t="array" ref="X27">_xlfn.TEXTJOIN(", ", TRUE, _xlfn.UNIQUE(_xlfn._xlws.FILTER(Sales_All!$E$2:$E$91, Sales_All!$D$2:$D$91 = D27, "")))</f>
        <v>Monitor, Headphones, Smartphone, Laptop, Printer</v>
      </c>
    </row>
    <row r="28" spans="1:24">
      <c r="A28" s="39" t="s">
        <v>33</v>
      </c>
      <c r="B28" s="40">
        <v>45718.188310185193</v>
      </c>
      <c r="C28" s="39" t="s">
        <v>39</v>
      </c>
      <c r="D28" s="41">
        <v>1001</v>
      </c>
      <c r="E28" s="39" t="s">
        <v>43</v>
      </c>
      <c r="F28" s="41">
        <v>7</v>
      </c>
      <c r="G28" s="39">
        <v>796</v>
      </c>
      <c r="H28" s="41"/>
      <c r="I28" s="39"/>
      <c r="J28" s="41"/>
      <c r="K28" s="39"/>
      <c r="L28" s="41"/>
      <c r="M28" s="39">
        <f>_xlfn.XLOOKUP(A28, Operations!A:A, Operations!B:B)</f>
        <v>6</v>
      </c>
      <c r="N28" s="42">
        <f>_xlfn.XLOOKUP(A28, Operations!A:A, Operations!C:C)</f>
        <v>0.05</v>
      </c>
      <c r="O28" s="39" t="str">
        <f t="shared" si="1"/>
        <v>Low Efficiency</v>
      </c>
      <c r="P28" s="41">
        <f t="shared" si="2"/>
        <v>5572</v>
      </c>
      <c r="Q28" s="39">
        <f t="shared" si="3"/>
        <v>5572</v>
      </c>
      <c r="R28" s="41">
        <f>P28-(F28-J28)-(Finance!B28+Finance!C28+Finance!D28)</f>
        <v>5565</v>
      </c>
      <c r="S28" s="39" t="str" cm="1">
        <f t="array" ref="S28">_xlfn.IFS(Q28&gt;50000, "VIP", Q28&gt;=20000, "Regular", Q28&lt;20000, "Low Value")</f>
        <v>Low Value</v>
      </c>
      <c r="T28" s="43"/>
      <c r="U28" s="39"/>
      <c r="V28" s="41"/>
      <c r="W28" s="39"/>
      <c r="X28" s="41" t="str" cm="1">
        <f t="array" ref="X28">_xlfn.TEXTJOIN(", ", TRUE, _xlfn.UNIQUE(_xlfn._xlws.FILTER(Sales_All!$E$2:$E$91, Sales_All!$D$2:$D$91 = D28, "")))</f>
        <v>Printer, Monitor, Smartphone, Headphones, Laptop</v>
      </c>
    </row>
    <row r="29" spans="1:24">
      <c r="A29" s="44" t="s">
        <v>34</v>
      </c>
      <c r="B29" s="40">
        <v>45685.123541666668</v>
      </c>
      <c r="C29" s="44" t="s">
        <v>38</v>
      </c>
      <c r="D29" s="41">
        <v>1003</v>
      </c>
      <c r="E29" s="44" t="s">
        <v>43</v>
      </c>
      <c r="F29" s="41">
        <v>6</v>
      </c>
      <c r="G29" s="44">
        <v>1011</v>
      </c>
      <c r="H29" s="41"/>
      <c r="I29" s="44"/>
      <c r="J29" s="41"/>
      <c r="K29" s="44"/>
      <c r="L29" s="41"/>
      <c r="M29" s="44">
        <f>_xlfn.XLOOKUP(A29, Operations!A:A, Operations!B:B)</f>
        <v>2</v>
      </c>
      <c r="N29" s="42">
        <f>_xlfn.XLOOKUP(A29, Operations!A:A, Operations!C:C)</f>
        <v>7.0000000000000007E-2</v>
      </c>
      <c r="O29" s="44" t="str">
        <f t="shared" si="1"/>
        <v>Low Efficiency</v>
      </c>
      <c r="P29" s="41">
        <f t="shared" si="2"/>
        <v>6066</v>
      </c>
      <c r="Q29" s="44">
        <f t="shared" si="3"/>
        <v>6066</v>
      </c>
      <c r="R29" s="41">
        <f>P29-(F29-J29)-(Finance!B29+Finance!C29+Finance!D29)</f>
        <v>6060</v>
      </c>
      <c r="S29" s="44" t="str" cm="1">
        <f t="array" ref="S29">_xlfn.IFS(Q29&gt;50000, "VIP", Q29&gt;=20000, "Regular", Q29&lt;20000, "Low Value")</f>
        <v>Low Value</v>
      </c>
      <c r="T29" s="43"/>
      <c r="U29" s="44"/>
      <c r="V29" s="41"/>
      <c r="W29" s="44"/>
      <c r="X29" s="41" t="str" cm="1">
        <f t="array" ref="X29">_xlfn.TEXTJOIN(", ", TRUE, _xlfn.UNIQUE(_xlfn._xlws.FILTER(Sales_All!$E$2:$E$91, Sales_All!$D$2:$D$91 = D29, "")))</f>
        <v>Printer, Monitor, Headphones</v>
      </c>
    </row>
    <row r="30" spans="1:24">
      <c r="A30" s="39" t="s">
        <v>35</v>
      </c>
      <c r="B30" s="40">
        <v>45722.085451388892</v>
      </c>
      <c r="C30" s="39" t="s">
        <v>38</v>
      </c>
      <c r="D30" s="41">
        <v>1011</v>
      </c>
      <c r="E30" s="39" t="s">
        <v>46</v>
      </c>
      <c r="F30" s="41">
        <v>2</v>
      </c>
      <c r="G30" s="39">
        <v>1660</v>
      </c>
      <c r="H30" s="41"/>
      <c r="I30" s="39"/>
      <c r="J30" s="41"/>
      <c r="K30" s="39"/>
      <c r="L30" s="41"/>
      <c r="M30" s="39">
        <f>_xlfn.XLOOKUP(A30, Operations!A:A, Operations!B:B)</f>
        <v>9</v>
      </c>
      <c r="N30" s="42">
        <f>_xlfn.XLOOKUP(A30, Operations!A:A, Operations!C:C)</f>
        <v>0.05</v>
      </c>
      <c r="O30" s="39" t="str">
        <f t="shared" si="1"/>
        <v>Low Efficiency</v>
      </c>
      <c r="P30" s="41">
        <f t="shared" si="2"/>
        <v>3320</v>
      </c>
      <c r="Q30" s="39">
        <f t="shared" si="3"/>
        <v>3320</v>
      </c>
      <c r="R30" s="41">
        <f>P30-(F30-J30)-(Finance!B30+Finance!C30+Finance!D30)</f>
        <v>3318</v>
      </c>
      <c r="S30" s="39" t="str" cm="1">
        <f t="array" ref="S30">_xlfn.IFS(Q30&gt;50000, "VIP", Q30&gt;=20000, "Regular", Q30&lt;20000, "Low Value")</f>
        <v>Low Value</v>
      </c>
      <c r="T30" s="43"/>
      <c r="U30" s="39"/>
      <c r="V30" s="41"/>
      <c r="W30" s="39"/>
      <c r="X30" s="41" t="str" cm="1">
        <f t="array" ref="X30">_xlfn.TEXTJOIN(", ", TRUE, _xlfn.UNIQUE(_xlfn._xlws.FILTER(Sales_All!$E$2:$E$91, Sales_All!$D$2:$D$91 = D30, "")))</f>
        <v>Printer, Headphones, Tablet</v>
      </c>
    </row>
    <row r="31" spans="1:24">
      <c r="A31" s="44" t="s">
        <v>36</v>
      </c>
      <c r="B31" s="40">
        <v>45666.62767361111</v>
      </c>
      <c r="C31" s="44" t="s">
        <v>39</v>
      </c>
      <c r="D31" s="41">
        <v>1016</v>
      </c>
      <c r="E31" s="44" t="s">
        <v>43</v>
      </c>
      <c r="F31" s="41">
        <v>5</v>
      </c>
      <c r="G31" s="44">
        <v>1119</v>
      </c>
      <c r="H31" s="41"/>
      <c r="I31" s="44"/>
      <c r="J31" s="41"/>
      <c r="K31" s="44"/>
      <c r="L31" s="41"/>
      <c r="M31" s="44">
        <f>_xlfn.XLOOKUP(A31, Operations!A:A, Operations!B:B)</f>
        <v>2</v>
      </c>
      <c r="N31" s="42">
        <f>_xlfn.XLOOKUP(A31, Operations!A:A, Operations!C:C)</f>
        <v>7.0000000000000007E-2</v>
      </c>
      <c r="O31" s="44" t="str">
        <f t="shared" si="1"/>
        <v>Low Efficiency</v>
      </c>
      <c r="P31" s="41">
        <f t="shared" si="2"/>
        <v>5595</v>
      </c>
      <c r="Q31" s="44">
        <f t="shared" si="3"/>
        <v>5595</v>
      </c>
      <c r="R31" s="41">
        <f>P31-(F31-J31)-(Finance!B31+Finance!C31+Finance!D31)</f>
        <v>5590</v>
      </c>
      <c r="S31" s="44" t="str" cm="1">
        <f t="array" ref="S31">_xlfn.IFS(Q31&gt;50000, "VIP", Q31&gt;=20000, "Regular", Q31&lt;20000, "Low Value")</f>
        <v>Low Value</v>
      </c>
      <c r="T31" s="43"/>
      <c r="U31" s="44"/>
      <c r="V31" s="41"/>
      <c r="W31" s="44"/>
      <c r="X31" s="41" t="str" cm="1">
        <f t="array" ref="X31">_xlfn.TEXTJOIN(", ", TRUE, _xlfn.UNIQUE(_xlfn._xlws.FILTER(Sales_All!$E$2:$E$91, Sales_All!$D$2:$D$91 = D31, "")))</f>
        <v>Laptop, Monitor, Tablet</v>
      </c>
    </row>
    <row r="32" spans="1:24">
      <c r="A32" s="39" t="s">
        <v>76</v>
      </c>
      <c r="B32" s="40">
        <v>45770.271574074082</v>
      </c>
      <c r="C32" s="39" t="s">
        <v>40</v>
      </c>
      <c r="D32" s="41">
        <v>1016</v>
      </c>
      <c r="E32" s="39" t="s">
        <v>41</v>
      </c>
      <c r="F32" s="41">
        <v>7</v>
      </c>
      <c r="G32" s="39">
        <v>1039</v>
      </c>
      <c r="H32" s="41"/>
      <c r="I32" s="39"/>
      <c r="J32" s="41"/>
      <c r="K32" s="39"/>
      <c r="L32" s="41"/>
      <c r="M32" s="39">
        <f>_xlfn.XLOOKUP(A32, Operations!A:A, Operations!B:B)</f>
        <v>6</v>
      </c>
      <c r="N32" s="42">
        <f>_xlfn.XLOOKUP(A32, Operations!A:A, Operations!C:C)</f>
        <v>0.05</v>
      </c>
      <c r="O32" s="39" t="str">
        <f t="shared" si="1"/>
        <v>Low Efficiency</v>
      </c>
      <c r="P32" s="41">
        <f t="shared" si="2"/>
        <v>7273</v>
      </c>
      <c r="Q32" s="39">
        <f t="shared" si="3"/>
        <v>7273</v>
      </c>
      <c r="R32" s="41">
        <f>P32-(F32-J32)-(Finance!B32+Finance!C32+Finance!D32)</f>
        <v>7266</v>
      </c>
      <c r="S32" s="39" t="str" cm="1">
        <f t="array" ref="S32">_xlfn.IFS(Q32&gt;50000, "VIP", Q32&gt;=20000, "Regular", Q32&lt;20000, "Low Value")</f>
        <v>Low Value</v>
      </c>
      <c r="T32" s="43"/>
      <c r="U32" s="39"/>
      <c r="V32" s="41"/>
      <c r="W32" s="39"/>
      <c r="X32" s="41" t="str" cm="1">
        <f t="array" ref="X32">_xlfn.TEXTJOIN(", ", TRUE, _xlfn.UNIQUE(_xlfn._xlws.FILTER(Sales_All!$E$2:$E$91, Sales_All!$D$2:$D$91 = D32, "")))</f>
        <v>Laptop, Monitor, Tablet</v>
      </c>
    </row>
    <row r="33" spans="1:24">
      <c r="A33" s="44" t="s">
        <v>75</v>
      </c>
      <c r="B33" s="40">
        <v>45821.985358796293</v>
      </c>
      <c r="C33" s="44" t="s">
        <v>38</v>
      </c>
      <c r="D33" s="41">
        <v>1010</v>
      </c>
      <c r="E33" s="44" t="s">
        <v>44</v>
      </c>
      <c r="F33" s="41">
        <v>2</v>
      </c>
      <c r="G33" s="44">
        <v>809</v>
      </c>
      <c r="H33" s="41"/>
      <c r="I33" s="44"/>
      <c r="J33" s="41"/>
      <c r="K33" s="44"/>
      <c r="L33" s="41"/>
      <c r="M33" s="44">
        <f>_xlfn.XLOOKUP(A33, Operations!A:A, Operations!B:B)</f>
        <v>5</v>
      </c>
      <c r="N33" s="42">
        <f>_xlfn.XLOOKUP(A33, Operations!A:A, Operations!C:C)</f>
        <v>0</v>
      </c>
      <c r="O33" s="44" t="str">
        <f t="shared" si="1"/>
        <v>High Efficiency</v>
      </c>
      <c r="P33" s="41">
        <f t="shared" si="2"/>
        <v>1618</v>
      </c>
      <c r="Q33" s="44">
        <f t="shared" si="3"/>
        <v>1618</v>
      </c>
      <c r="R33" s="41">
        <f>P33-(F33-J33)-(Finance!B33+Finance!C33+Finance!D33)</f>
        <v>1616</v>
      </c>
      <c r="S33" s="44" t="str" cm="1">
        <f t="array" ref="S33">_xlfn.IFS(Q33&gt;50000, "VIP", Q33&gt;=20000, "Regular", Q33&lt;20000, "Low Value")</f>
        <v>Low Value</v>
      </c>
      <c r="T33" s="43"/>
      <c r="U33" s="44"/>
      <c r="V33" s="41"/>
      <c r="W33" s="44"/>
      <c r="X33" s="41" t="str" cm="1">
        <f t="array" ref="X33">_xlfn.TEXTJOIN(", ", TRUE, _xlfn.UNIQUE(_xlfn._xlws.FILTER(Sales_All!$E$2:$E$91, Sales_All!$D$2:$D$91 = D33, "")))</f>
        <v>Headphones, Smartphone, Monitor, Printer</v>
      </c>
    </row>
    <row r="34" spans="1:24">
      <c r="A34" s="39" t="s">
        <v>74</v>
      </c>
      <c r="B34" s="40">
        <v>45774.624965277777</v>
      </c>
      <c r="C34" s="39" t="s">
        <v>38</v>
      </c>
      <c r="D34" s="41">
        <v>1014</v>
      </c>
      <c r="E34" s="39" t="s">
        <v>43</v>
      </c>
      <c r="F34" s="41">
        <v>5</v>
      </c>
      <c r="G34" s="39">
        <v>1951</v>
      </c>
      <c r="H34" s="41"/>
      <c r="I34" s="39"/>
      <c r="J34" s="41"/>
      <c r="K34" s="39"/>
      <c r="L34" s="41"/>
      <c r="M34" s="39">
        <f>_xlfn.XLOOKUP(A34, Operations!A:A, Operations!B:B)</f>
        <v>3</v>
      </c>
      <c r="N34" s="42">
        <f>_xlfn.XLOOKUP(A34, Operations!A:A, Operations!C:C)</f>
        <v>0.04</v>
      </c>
      <c r="O34" s="39" t="str">
        <f t="shared" si="1"/>
        <v>High Efficiency</v>
      </c>
      <c r="P34" s="41">
        <f t="shared" si="2"/>
        <v>9755</v>
      </c>
      <c r="Q34" s="39">
        <f t="shared" si="3"/>
        <v>9755</v>
      </c>
      <c r="R34" s="41">
        <f>P34-(F34-J34)-(Finance!B34+Finance!C34+Finance!D34)</f>
        <v>9750</v>
      </c>
      <c r="S34" s="39" t="str" cm="1">
        <f t="array" ref="S34">_xlfn.IFS(Q34&gt;50000, "VIP", Q34&gt;=20000, "Regular", Q34&lt;20000, "Low Value")</f>
        <v>Low Value</v>
      </c>
      <c r="T34" s="43"/>
      <c r="U34" s="39"/>
      <c r="V34" s="41"/>
      <c r="W34" s="39"/>
      <c r="X34" s="41" t="str" cm="1">
        <f t="array" ref="X34">_xlfn.TEXTJOIN(", ", TRUE, _xlfn.UNIQUE(_xlfn._xlws.FILTER(Sales_All!$E$2:$E$91, Sales_All!$D$2:$D$91 = D34, "")))</f>
        <v>Tablet, Monitor, Headphones</v>
      </c>
    </row>
    <row r="35" spans="1:24">
      <c r="A35" s="44" t="s">
        <v>73</v>
      </c>
      <c r="B35" s="40">
        <v>45789.475810185177</v>
      </c>
      <c r="C35" s="44" t="s">
        <v>37</v>
      </c>
      <c r="D35" s="41">
        <v>1009</v>
      </c>
      <c r="E35" s="44" t="s">
        <v>44</v>
      </c>
      <c r="F35" s="41">
        <v>1</v>
      </c>
      <c r="G35" s="44">
        <v>1187</v>
      </c>
      <c r="H35" s="41"/>
      <c r="I35" s="44"/>
      <c r="J35" s="41"/>
      <c r="K35" s="44"/>
      <c r="L35" s="41"/>
      <c r="M35" s="44">
        <f>_xlfn.XLOOKUP(A35, Operations!A:A, Operations!B:B)</f>
        <v>9</v>
      </c>
      <c r="N35" s="42">
        <f>_xlfn.XLOOKUP(A35, Operations!A:A, Operations!C:C)</f>
        <v>0.05</v>
      </c>
      <c r="O35" s="44" t="str">
        <f t="shared" si="1"/>
        <v>Low Efficiency</v>
      </c>
      <c r="P35" s="41">
        <f t="shared" si="2"/>
        <v>1187</v>
      </c>
      <c r="Q35" s="44">
        <f t="shared" si="3"/>
        <v>1187</v>
      </c>
      <c r="R35" s="41">
        <f>P35-(F35-J35)-(Finance!B35+Finance!C35+Finance!D35)</f>
        <v>1186</v>
      </c>
      <c r="S35" s="44" t="str" cm="1">
        <f t="array" ref="S35">_xlfn.IFS(Q35&gt;50000, "VIP", Q35&gt;=20000, "Regular", Q35&lt;20000, "Low Value")</f>
        <v>Low Value</v>
      </c>
      <c r="T35" s="43"/>
      <c r="U35" s="44"/>
      <c r="V35" s="41"/>
      <c r="W35" s="44"/>
      <c r="X35" s="41" t="str" cm="1">
        <f t="array" ref="X35">_xlfn.TEXTJOIN(", ", TRUE, _xlfn.UNIQUE(_xlfn._xlws.FILTER(Sales_All!$E$2:$E$91, Sales_All!$D$2:$D$91 = D35, "")))</f>
        <v>Monitor, Headphones, Smartphone, Laptop, Printer</v>
      </c>
    </row>
    <row r="36" spans="1:24">
      <c r="A36" s="45" t="s">
        <v>72</v>
      </c>
      <c r="B36" s="40">
        <v>45771.114571759259</v>
      </c>
      <c r="C36" s="45" t="s">
        <v>40</v>
      </c>
      <c r="D36" s="41">
        <v>1018</v>
      </c>
      <c r="E36" s="45" t="s">
        <v>42</v>
      </c>
      <c r="F36" s="41">
        <v>9</v>
      </c>
      <c r="G36" s="45">
        <v>1259</v>
      </c>
      <c r="H36" s="41"/>
      <c r="I36" s="45"/>
      <c r="J36" s="41"/>
      <c r="K36" s="45"/>
      <c r="L36" s="41"/>
      <c r="M36" s="45">
        <f>_xlfn.XLOOKUP(A36, Operations!A:A, Operations!B:B)</f>
        <v>4</v>
      </c>
      <c r="N36" s="42">
        <f>_xlfn.XLOOKUP(A36, Operations!A:A, Operations!C:C)</f>
        <v>0.04</v>
      </c>
      <c r="O36" s="45" t="str">
        <f t="shared" si="1"/>
        <v>High Efficiency</v>
      </c>
      <c r="P36" s="41">
        <f t="shared" si="2"/>
        <v>11331</v>
      </c>
      <c r="Q36" s="45">
        <f t="shared" si="3"/>
        <v>11331</v>
      </c>
      <c r="R36" s="41">
        <f>P36-(F36-J36)-(Finance!B36+Finance!C36+Finance!D36)</f>
        <v>11322</v>
      </c>
      <c r="S36" s="45" t="str" cm="1">
        <f t="array" ref="S36">_xlfn.IFS(Q36&gt;50000, "VIP", Q36&gt;=20000, "Regular", Q36&lt;20000, "Low Value")</f>
        <v>Low Value</v>
      </c>
      <c r="T36" s="43"/>
      <c r="U36" s="45"/>
      <c r="V36" s="41"/>
      <c r="W36" s="45"/>
      <c r="X36" s="41" t="str" cm="1">
        <f t="array" ref="X36">_xlfn.TEXTJOIN(", ", TRUE, _xlfn.UNIQUE(_xlfn._xlws.FILTER(Sales_All!$E$2:$E$91, Sales_All!$D$2:$D$91 = D36, "")))</f>
        <v>Tablet, Smartphone, Headphones, Monitor, Laptop</v>
      </c>
    </row>
    <row r="37" spans="1:24">
      <c r="A37" s="44" t="s">
        <v>71</v>
      </c>
      <c r="B37" s="40">
        <v>45833.931319444448</v>
      </c>
      <c r="C37" s="44" t="s">
        <v>40</v>
      </c>
      <c r="D37" s="41">
        <v>1010</v>
      </c>
      <c r="E37" s="44" t="s">
        <v>43</v>
      </c>
      <c r="F37" s="41">
        <v>6</v>
      </c>
      <c r="G37" s="44">
        <v>1460</v>
      </c>
      <c r="H37" s="41"/>
      <c r="I37" s="44"/>
      <c r="J37" s="41"/>
      <c r="K37" s="44"/>
      <c r="L37" s="41"/>
      <c r="M37" s="44">
        <f>_xlfn.XLOOKUP(A37, Operations!A:A, Operations!B:B)</f>
        <v>6</v>
      </c>
      <c r="N37" s="42">
        <f>_xlfn.XLOOKUP(A37, Operations!A:A, Operations!C:C)</f>
        <v>0.04</v>
      </c>
      <c r="O37" s="44" t="str">
        <f t="shared" si="1"/>
        <v>Low Efficiency</v>
      </c>
      <c r="P37" s="41">
        <f t="shared" si="2"/>
        <v>8760</v>
      </c>
      <c r="Q37" s="44">
        <f t="shared" si="3"/>
        <v>8760</v>
      </c>
      <c r="R37" s="41">
        <f>P37-(F37-J37)-(Finance!B37+Finance!C37+Finance!D37)</f>
        <v>8754</v>
      </c>
      <c r="S37" s="44" t="str" cm="1">
        <f t="array" ref="S37">_xlfn.IFS(Q37&gt;50000, "VIP", Q37&gt;=20000, "Regular", Q37&lt;20000, "Low Value")</f>
        <v>Low Value</v>
      </c>
      <c r="T37" s="43"/>
      <c r="U37" s="44"/>
      <c r="V37" s="41"/>
      <c r="W37" s="44"/>
      <c r="X37" s="41" t="str" cm="1">
        <f t="array" ref="X37">_xlfn.TEXTJOIN(", ", TRUE, _xlfn.UNIQUE(_xlfn._xlws.FILTER(Sales_All!$E$2:$E$91, Sales_All!$D$2:$D$91 = D37, "")))</f>
        <v>Headphones, Smartphone, Monitor, Printer</v>
      </c>
    </row>
    <row r="38" spans="1:24">
      <c r="A38" s="39" t="s">
        <v>70</v>
      </c>
      <c r="B38" s="40">
        <v>45766.59642361111</v>
      </c>
      <c r="C38" s="39" t="s">
        <v>39</v>
      </c>
      <c r="D38" s="41">
        <v>1010</v>
      </c>
      <c r="E38" s="39" t="s">
        <v>46</v>
      </c>
      <c r="F38" s="41">
        <v>5</v>
      </c>
      <c r="G38" s="39">
        <v>1485</v>
      </c>
      <c r="H38" s="41"/>
      <c r="I38" s="39"/>
      <c r="J38" s="41"/>
      <c r="K38" s="39"/>
      <c r="L38" s="41"/>
      <c r="M38" s="39">
        <f>_xlfn.XLOOKUP(A38, Operations!A:A, Operations!B:B)</f>
        <v>1</v>
      </c>
      <c r="N38" s="42">
        <f>_xlfn.XLOOKUP(A38, Operations!A:A, Operations!C:C)</f>
        <v>0.05</v>
      </c>
      <c r="O38" s="39" t="str">
        <f t="shared" si="1"/>
        <v>High Efficiency</v>
      </c>
      <c r="P38" s="41">
        <f t="shared" si="2"/>
        <v>7425</v>
      </c>
      <c r="Q38" s="39">
        <f t="shared" si="3"/>
        <v>7425</v>
      </c>
      <c r="R38" s="41">
        <f>P38-(F38-J38)-(Finance!B38+Finance!C38+Finance!D38)</f>
        <v>7420</v>
      </c>
      <c r="S38" s="39" t="str" cm="1">
        <f t="array" ref="S38">_xlfn.IFS(Q38&gt;50000, "VIP", Q38&gt;=20000, "Regular", Q38&lt;20000, "Low Value")</f>
        <v>Low Value</v>
      </c>
      <c r="T38" s="43"/>
      <c r="U38" s="39"/>
      <c r="V38" s="41"/>
      <c r="W38" s="39"/>
      <c r="X38" s="41" t="str" cm="1">
        <f t="array" ref="X38">_xlfn.TEXTJOIN(", ", TRUE, _xlfn.UNIQUE(_xlfn._xlws.FILTER(Sales_All!$E$2:$E$91, Sales_All!$D$2:$D$91 = D38, "")))</f>
        <v>Headphones, Smartphone, Monitor, Printer</v>
      </c>
    </row>
    <row r="39" spans="1:24">
      <c r="A39" s="44" t="s">
        <v>69</v>
      </c>
      <c r="B39" s="40">
        <v>45770.167129629634</v>
      </c>
      <c r="C39" s="44" t="s">
        <v>39</v>
      </c>
      <c r="D39" s="41">
        <v>1015</v>
      </c>
      <c r="E39" s="44" t="s">
        <v>44</v>
      </c>
      <c r="F39" s="41">
        <v>3</v>
      </c>
      <c r="G39" s="44">
        <v>1472</v>
      </c>
      <c r="H39" s="41"/>
      <c r="I39" s="44"/>
      <c r="J39" s="41"/>
      <c r="K39" s="44"/>
      <c r="L39" s="41"/>
      <c r="M39" s="44">
        <f>_xlfn.XLOOKUP(A39, Operations!A:A, Operations!B:B)</f>
        <v>4</v>
      </c>
      <c r="N39" s="42">
        <f>_xlfn.XLOOKUP(A39, Operations!A:A, Operations!C:C)</f>
        <v>0.04</v>
      </c>
      <c r="O39" s="44" t="str">
        <f t="shared" si="1"/>
        <v>High Efficiency</v>
      </c>
      <c r="P39" s="41">
        <f t="shared" si="2"/>
        <v>4416</v>
      </c>
      <c r="Q39" s="44">
        <f t="shared" si="3"/>
        <v>4416</v>
      </c>
      <c r="R39" s="41">
        <f>P39-(F39-J39)-(Finance!B39+Finance!C39+Finance!D39)</f>
        <v>4413</v>
      </c>
      <c r="S39" s="44" t="str" cm="1">
        <f t="array" ref="S39">_xlfn.IFS(Q39&gt;50000, "VIP", Q39&gt;=20000, "Regular", Q39&lt;20000, "Low Value")</f>
        <v>Low Value</v>
      </c>
      <c r="T39" s="43"/>
      <c r="U39" s="44"/>
      <c r="V39" s="41"/>
      <c r="W39" s="44"/>
      <c r="X39" s="41" t="str" cm="1">
        <f t="array" ref="X39">_xlfn.TEXTJOIN(", ", TRUE, _xlfn.UNIQUE(_xlfn._xlws.FILTER(Sales_All!$E$2:$E$91, Sales_All!$D$2:$D$91 = D39, "")))</f>
        <v>Smartphone</v>
      </c>
    </row>
    <row r="40" spans="1:24">
      <c r="A40" s="45" t="s">
        <v>68</v>
      </c>
      <c r="B40" s="40">
        <v>45759.131932870368</v>
      </c>
      <c r="C40" s="45" t="s">
        <v>38</v>
      </c>
      <c r="D40" s="41">
        <v>1020</v>
      </c>
      <c r="E40" s="45" t="s">
        <v>45</v>
      </c>
      <c r="F40" s="41">
        <v>8</v>
      </c>
      <c r="G40" s="45">
        <v>1331</v>
      </c>
      <c r="H40" s="41"/>
      <c r="I40" s="45"/>
      <c r="J40" s="41"/>
      <c r="K40" s="45"/>
      <c r="L40" s="41"/>
      <c r="M40" s="45">
        <f>_xlfn.XLOOKUP(A40, Operations!A:A, Operations!B:B)</f>
        <v>7</v>
      </c>
      <c r="N40" s="42">
        <f>_xlfn.XLOOKUP(A40, Operations!A:A, Operations!C:C)</f>
        <v>0.01</v>
      </c>
      <c r="O40" s="45" t="str">
        <f t="shared" si="1"/>
        <v>Low Efficiency</v>
      </c>
      <c r="P40" s="41">
        <f t="shared" si="2"/>
        <v>10648</v>
      </c>
      <c r="Q40" s="45">
        <f t="shared" si="3"/>
        <v>10648</v>
      </c>
      <c r="R40" s="41">
        <f>P40-(F40-J40)-(Finance!B40+Finance!C40+Finance!D40)</f>
        <v>10640</v>
      </c>
      <c r="S40" s="45" t="str" cm="1">
        <f t="array" ref="S40">_xlfn.IFS(Q40&gt;50000, "VIP", Q40&gt;=20000, "Regular", Q40&lt;20000, "Low Value")</f>
        <v>Low Value</v>
      </c>
      <c r="T40" s="43"/>
      <c r="U40" s="45"/>
      <c r="V40" s="41"/>
      <c r="W40" s="45"/>
      <c r="X40" s="41" t="str" cm="1">
        <f t="array" ref="X40">_xlfn.TEXTJOIN(", ", TRUE, _xlfn.UNIQUE(_xlfn._xlws.FILTER(Sales_All!$E$2:$E$91, Sales_All!$D$2:$D$91 = D40, "")))</f>
        <v>Printer, Headphones, Laptop</v>
      </c>
    </row>
    <row r="41" spans="1:24">
      <c r="A41" s="44" t="s">
        <v>67</v>
      </c>
      <c r="B41" s="40">
        <v>45760.760393518518</v>
      </c>
      <c r="C41" s="44" t="s">
        <v>38</v>
      </c>
      <c r="D41" s="41">
        <v>1001</v>
      </c>
      <c r="E41" s="44" t="s">
        <v>44</v>
      </c>
      <c r="F41" s="41">
        <v>2</v>
      </c>
      <c r="G41" s="44">
        <v>222</v>
      </c>
      <c r="H41" s="41"/>
      <c r="I41" s="44"/>
      <c r="J41" s="41"/>
      <c r="K41" s="44"/>
      <c r="L41" s="41"/>
      <c r="M41" s="44">
        <f>_xlfn.XLOOKUP(A41, Operations!A:A, Operations!B:B)</f>
        <v>4</v>
      </c>
      <c r="N41" s="42">
        <f>_xlfn.XLOOKUP(A41, Operations!A:A, Operations!C:C)</f>
        <v>0.03</v>
      </c>
      <c r="O41" s="44" t="str">
        <f t="shared" si="1"/>
        <v>High Efficiency</v>
      </c>
      <c r="P41" s="41">
        <f t="shared" si="2"/>
        <v>444</v>
      </c>
      <c r="Q41" s="44">
        <f t="shared" si="3"/>
        <v>444</v>
      </c>
      <c r="R41" s="41">
        <f>P41-(F41-J41)-(Finance!B41+Finance!C41+Finance!D41)</f>
        <v>442</v>
      </c>
      <c r="S41" s="44" t="str" cm="1">
        <f t="array" ref="S41">_xlfn.IFS(Q41&gt;50000, "VIP", Q41&gt;=20000, "Regular", Q41&lt;20000, "Low Value")</f>
        <v>Low Value</v>
      </c>
      <c r="T41" s="43"/>
      <c r="U41" s="44"/>
      <c r="V41" s="41"/>
      <c r="W41" s="44"/>
      <c r="X41" s="41" t="str" cm="1">
        <f t="array" ref="X41">_xlfn.TEXTJOIN(", ", TRUE, _xlfn.UNIQUE(_xlfn._xlws.FILTER(Sales_All!$E$2:$E$91, Sales_All!$D$2:$D$91 = D41, "")))</f>
        <v>Printer, Monitor, Smartphone, Headphones, Laptop</v>
      </c>
    </row>
    <row r="42" spans="1:24">
      <c r="A42" s="39" t="s">
        <v>66</v>
      </c>
      <c r="B42" s="40">
        <v>45754.452418981477</v>
      </c>
      <c r="C42" s="39" t="s">
        <v>37</v>
      </c>
      <c r="D42" s="41">
        <v>1012</v>
      </c>
      <c r="E42" s="39" t="s">
        <v>42</v>
      </c>
      <c r="F42" s="41">
        <v>3</v>
      </c>
      <c r="G42" s="39">
        <v>1781</v>
      </c>
      <c r="H42" s="41"/>
      <c r="I42" s="39"/>
      <c r="J42" s="41"/>
      <c r="K42" s="39"/>
      <c r="L42" s="41"/>
      <c r="M42" s="39">
        <f>_xlfn.XLOOKUP(A42, Operations!A:A, Operations!B:B)</f>
        <v>5</v>
      </c>
      <c r="N42" s="42">
        <f>_xlfn.XLOOKUP(A42, Operations!A:A, Operations!C:C)</f>
        <v>0.09</v>
      </c>
      <c r="O42" s="39" t="str">
        <f t="shared" si="1"/>
        <v>Low Efficiency</v>
      </c>
      <c r="P42" s="41">
        <f t="shared" si="2"/>
        <v>5343</v>
      </c>
      <c r="Q42" s="39">
        <f t="shared" si="3"/>
        <v>5343</v>
      </c>
      <c r="R42" s="41">
        <f>P42-(F42-J42)-(Finance!B42+Finance!C42+Finance!D42)</f>
        <v>5340</v>
      </c>
      <c r="S42" s="39" t="str" cm="1">
        <f t="array" ref="S42">_xlfn.IFS(Q42&gt;50000, "VIP", Q42&gt;=20000, "Regular", Q42&lt;20000, "Low Value")</f>
        <v>Low Value</v>
      </c>
      <c r="T42" s="43"/>
      <c r="U42" s="39"/>
      <c r="V42" s="41"/>
      <c r="W42" s="39"/>
      <c r="X42" s="41" t="str" cm="1">
        <f t="array" ref="X42">_xlfn.TEXTJOIN(", ", TRUE, _xlfn.UNIQUE(_xlfn._xlws.FILTER(Sales_All!$E$2:$E$91, Sales_All!$D$2:$D$91 = D42, "")))</f>
        <v>Laptop, Headphones, Printer, Monitor</v>
      </c>
    </row>
    <row r="43" spans="1:24">
      <c r="A43" s="44" t="s">
        <v>65</v>
      </c>
      <c r="B43" s="40">
        <v>45823.740358796298</v>
      </c>
      <c r="C43" s="44" t="s">
        <v>38</v>
      </c>
      <c r="D43" s="41">
        <v>1001</v>
      </c>
      <c r="E43" s="44" t="s">
        <v>42</v>
      </c>
      <c r="F43" s="41">
        <v>2</v>
      </c>
      <c r="G43" s="44">
        <v>1545</v>
      </c>
      <c r="H43" s="41"/>
      <c r="I43" s="44"/>
      <c r="J43" s="41"/>
      <c r="K43" s="44"/>
      <c r="L43" s="41"/>
      <c r="M43" s="44">
        <f>_xlfn.XLOOKUP(A43, Operations!A:A, Operations!B:B)</f>
        <v>8</v>
      </c>
      <c r="N43" s="42">
        <f>_xlfn.XLOOKUP(A43, Operations!A:A, Operations!C:C)</f>
        <v>0</v>
      </c>
      <c r="O43" s="44" t="str">
        <f t="shared" si="1"/>
        <v>Low Efficiency</v>
      </c>
      <c r="P43" s="41">
        <f t="shared" si="2"/>
        <v>3090</v>
      </c>
      <c r="Q43" s="44">
        <f t="shared" si="3"/>
        <v>3090</v>
      </c>
      <c r="R43" s="41">
        <f>P43-(F43-J43)-(Finance!B43+Finance!C43+Finance!D43)</f>
        <v>3088</v>
      </c>
      <c r="S43" s="44" t="str" cm="1">
        <f t="array" ref="S43">_xlfn.IFS(Q43&gt;50000, "VIP", Q43&gt;=20000, "Regular", Q43&lt;20000, "Low Value")</f>
        <v>Low Value</v>
      </c>
      <c r="T43" s="43"/>
      <c r="U43" s="44"/>
      <c r="V43" s="41"/>
      <c r="W43" s="44"/>
      <c r="X43" s="41" t="str" cm="1">
        <f t="array" ref="X43">_xlfn.TEXTJOIN(", ", TRUE, _xlfn.UNIQUE(_xlfn._xlws.FILTER(Sales_All!$E$2:$E$91, Sales_All!$D$2:$D$91 = D43, "")))</f>
        <v>Printer, Monitor, Smartphone, Headphones, Laptop</v>
      </c>
    </row>
    <row r="44" spans="1:24">
      <c r="A44" s="39" t="s">
        <v>64</v>
      </c>
      <c r="B44" s="40">
        <v>45827.390497685177</v>
      </c>
      <c r="C44" s="39" t="s">
        <v>39</v>
      </c>
      <c r="D44" s="41">
        <v>1019</v>
      </c>
      <c r="E44" s="39" t="s">
        <v>45</v>
      </c>
      <c r="F44" s="41">
        <v>1</v>
      </c>
      <c r="G44" s="39">
        <v>1437</v>
      </c>
      <c r="H44" s="41"/>
      <c r="I44" s="39"/>
      <c r="J44" s="41"/>
      <c r="K44" s="39"/>
      <c r="L44" s="41"/>
      <c r="M44" s="39">
        <f>_xlfn.XLOOKUP(A44, Operations!A:A, Operations!B:B)</f>
        <v>7</v>
      </c>
      <c r="N44" s="42">
        <f>_xlfn.XLOOKUP(A44, Operations!A:A, Operations!C:C)</f>
        <v>0</v>
      </c>
      <c r="O44" s="39" t="str">
        <f t="shared" si="1"/>
        <v>Low Efficiency</v>
      </c>
      <c r="P44" s="41">
        <f t="shared" si="2"/>
        <v>1437</v>
      </c>
      <c r="Q44" s="39">
        <f t="shared" si="3"/>
        <v>1437</v>
      </c>
      <c r="R44" s="41">
        <f>P44-(F44-J44)-(Finance!B44+Finance!C44+Finance!D44)</f>
        <v>1436</v>
      </c>
      <c r="S44" s="39" t="str" cm="1">
        <f t="array" ref="S44">_xlfn.IFS(Q44&gt;50000, "VIP", Q44&gt;=20000, "Regular", Q44&lt;20000, "Low Value")</f>
        <v>Low Value</v>
      </c>
      <c r="T44" s="43"/>
      <c r="U44" s="39"/>
      <c r="V44" s="41"/>
      <c r="W44" s="39"/>
      <c r="X44" s="41" t="str" cm="1">
        <f t="array" ref="X44">_xlfn.TEXTJOIN(", ", TRUE, _xlfn.UNIQUE(_xlfn._xlws.FILTER(Sales_All!$E$2:$E$91, Sales_All!$D$2:$D$91 = D44, "")))</f>
        <v>Laptop, Headphones, Tablet, Monitor</v>
      </c>
    </row>
    <row r="45" spans="1:24">
      <c r="A45" s="45" t="s">
        <v>63</v>
      </c>
      <c r="B45" s="40">
        <v>45754.479502314818</v>
      </c>
      <c r="C45" s="45" t="s">
        <v>40</v>
      </c>
      <c r="D45" s="41">
        <v>1009</v>
      </c>
      <c r="E45" s="45" t="s">
        <v>45</v>
      </c>
      <c r="F45" s="41">
        <v>8</v>
      </c>
      <c r="G45" s="45">
        <v>1539</v>
      </c>
      <c r="H45" s="41"/>
      <c r="I45" s="45"/>
      <c r="J45" s="41"/>
      <c r="K45" s="45"/>
      <c r="L45" s="41"/>
      <c r="M45" s="45">
        <f>_xlfn.XLOOKUP(A45, Operations!A:A, Operations!B:B)</f>
        <v>4</v>
      </c>
      <c r="N45" s="42">
        <f>_xlfn.XLOOKUP(A45, Operations!A:A, Operations!C:C)</f>
        <v>0.03</v>
      </c>
      <c r="O45" s="45" t="str">
        <f t="shared" si="1"/>
        <v>High Efficiency</v>
      </c>
      <c r="P45" s="41">
        <f t="shared" si="2"/>
        <v>12312</v>
      </c>
      <c r="Q45" s="45">
        <f t="shared" si="3"/>
        <v>12312</v>
      </c>
      <c r="R45" s="41">
        <f>P45-(F45-J45)-(Finance!B45+Finance!C45+Finance!D45)</f>
        <v>12304</v>
      </c>
      <c r="S45" s="45" t="str" cm="1">
        <f t="array" ref="S45">_xlfn.IFS(Q45&gt;50000, "VIP", Q45&gt;=20000, "Regular", Q45&lt;20000, "Low Value")</f>
        <v>Low Value</v>
      </c>
      <c r="T45" s="43"/>
      <c r="U45" s="45"/>
      <c r="V45" s="41"/>
      <c r="W45" s="45"/>
      <c r="X45" s="41" t="str" cm="1">
        <f t="array" ref="X45">_xlfn.TEXTJOIN(", ", TRUE, _xlfn.UNIQUE(_xlfn._xlws.FILTER(Sales_All!$E$2:$E$91, Sales_All!$D$2:$D$91 = D45, "")))</f>
        <v>Monitor, Headphones, Smartphone, Laptop, Printer</v>
      </c>
    </row>
    <row r="46" spans="1:24">
      <c r="A46" s="39" t="s">
        <v>62</v>
      </c>
      <c r="B46" s="40">
        <v>45788.261284722219</v>
      </c>
      <c r="C46" s="39" t="s">
        <v>40</v>
      </c>
      <c r="D46" s="41">
        <v>1013</v>
      </c>
      <c r="E46" s="39" t="s">
        <v>46</v>
      </c>
      <c r="F46" s="41">
        <v>2</v>
      </c>
      <c r="G46" s="39">
        <v>1414</v>
      </c>
      <c r="H46" s="41"/>
      <c r="I46" s="39"/>
      <c r="J46" s="41"/>
      <c r="K46" s="39"/>
      <c r="L46" s="41"/>
      <c r="M46" s="39">
        <f>_xlfn.XLOOKUP(A46, Operations!A:A, Operations!B:B)</f>
        <v>1</v>
      </c>
      <c r="N46" s="42">
        <f>_xlfn.XLOOKUP(A46, Operations!A:A, Operations!C:C)</f>
        <v>0.06</v>
      </c>
      <c r="O46" s="39" t="str">
        <f t="shared" si="1"/>
        <v>Low Efficiency</v>
      </c>
      <c r="P46" s="41">
        <f t="shared" si="2"/>
        <v>2828</v>
      </c>
      <c r="Q46" s="39">
        <f t="shared" si="3"/>
        <v>2828</v>
      </c>
      <c r="R46" s="41">
        <f>P46-(F46-J46)-(Finance!B46+Finance!C46+Finance!D46)</f>
        <v>2826</v>
      </c>
      <c r="S46" s="39" t="str" cm="1">
        <f t="array" ref="S46">_xlfn.IFS(Q46&gt;50000, "VIP", Q46&gt;=20000, "Regular", Q46&lt;20000, "Low Value")</f>
        <v>Low Value</v>
      </c>
      <c r="T46" s="43"/>
      <c r="U46" s="39"/>
      <c r="V46" s="41"/>
      <c r="W46" s="39"/>
      <c r="X46" s="41" t="str" cm="1">
        <f t="array" ref="X46">_xlfn.TEXTJOIN(", ", TRUE, _xlfn.UNIQUE(_xlfn._xlws.FILTER(Sales_All!$E$2:$E$91, Sales_All!$D$2:$D$91 = D46, "")))</f>
        <v>Laptop, Printer</v>
      </c>
    </row>
    <row r="47" spans="1:24">
      <c r="A47" s="44" t="s">
        <v>61</v>
      </c>
      <c r="B47" s="40">
        <v>45789.088136574072</v>
      </c>
      <c r="C47" s="44" t="s">
        <v>39</v>
      </c>
      <c r="D47" s="41">
        <v>1011</v>
      </c>
      <c r="E47" s="44" t="s">
        <v>42</v>
      </c>
      <c r="F47" s="41">
        <v>9</v>
      </c>
      <c r="G47" s="44">
        <v>1076</v>
      </c>
      <c r="H47" s="41"/>
      <c r="I47" s="44"/>
      <c r="J47" s="41"/>
      <c r="K47" s="44"/>
      <c r="L47" s="41"/>
      <c r="M47" s="44">
        <f>_xlfn.XLOOKUP(A47, Operations!A:A, Operations!B:B)</f>
        <v>5</v>
      </c>
      <c r="N47" s="42">
        <f>_xlfn.XLOOKUP(A47, Operations!A:A, Operations!C:C)</f>
        <v>0.1</v>
      </c>
      <c r="O47" s="44" t="str">
        <f t="shared" si="1"/>
        <v>Low Efficiency</v>
      </c>
      <c r="P47" s="41">
        <f t="shared" si="2"/>
        <v>9684</v>
      </c>
      <c r="Q47" s="44">
        <f t="shared" si="3"/>
        <v>9684</v>
      </c>
      <c r="R47" s="41">
        <f>P47-(F47-J47)-(Finance!B47+Finance!C47+Finance!D47)</f>
        <v>9675</v>
      </c>
      <c r="S47" s="44" t="str" cm="1">
        <f t="array" ref="S47">_xlfn.IFS(Q47&gt;50000, "VIP", Q47&gt;=20000, "Regular", Q47&lt;20000, "Low Value")</f>
        <v>Low Value</v>
      </c>
      <c r="T47" s="43"/>
      <c r="U47" s="44"/>
      <c r="V47" s="41"/>
      <c r="W47" s="44"/>
      <c r="X47" s="41" t="str" cm="1">
        <f t="array" ref="X47">_xlfn.TEXTJOIN(", ", TRUE, _xlfn.UNIQUE(_xlfn._xlws.FILTER(Sales_All!$E$2:$E$91, Sales_All!$D$2:$D$91 = D47, "")))</f>
        <v>Printer, Headphones, Tablet</v>
      </c>
    </row>
    <row r="48" spans="1:24">
      <c r="A48" s="39" t="s">
        <v>60</v>
      </c>
      <c r="B48" s="40">
        <v>45787.813692129632</v>
      </c>
      <c r="C48" s="39" t="s">
        <v>40</v>
      </c>
      <c r="D48" s="41">
        <v>1009</v>
      </c>
      <c r="E48" s="39" t="s">
        <v>46</v>
      </c>
      <c r="F48" s="41">
        <v>1</v>
      </c>
      <c r="G48" s="39">
        <v>398</v>
      </c>
      <c r="H48" s="41"/>
      <c r="I48" s="39"/>
      <c r="J48" s="41"/>
      <c r="K48" s="39"/>
      <c r="L48" s="41"/>
      <c r="M48" s="39">
        <f>_xlfn.XLOOKUP(A48, Operations!A:A, Operations!B:B)</f>
        <v>5</v>
      </c>
      <c r="N48" s="42">
        <f>_xlfn.XLOOKUP(A48, Operations!A:A, Operations!C:C)</f>
        <v>0.1</v>
      </c>
      <c r="O48" s="39" t="str">
        <f t="shared" si="1"/>
        <v>Low Efficiency</v>
      </c>
      <c r="P48" s="41">
        <f t="shared" si="2"/>
        <v>398</v>
      </c>
      <c r="Q48" s="39">
        <f t="shared" si="3"/>
        <v>398</v>
      </c>
      <c r="R48" s="41">
        <f>P48-(F48-J48)-(Finance!B48+Finance!C48+Finance!D48)</f>
        <v>397</v>
      </c>
      <c r="S48" s="39" t="str" cm="1">
        <f t="array" ref="S48">_xlfn.IFS(Q48&gt;50000, "VIP", Q48&gt;=20000, "Regular", Q48&lt;20000, "Low Value")</f>
        <v>Low Value</v>
      </c>
      <c r="T48" s="43"/>
      <c r="U48" s="39"/>
      <c r="V48" s="41"/>
      <c r="W48" s="39"/>
      <c r="X48" s="41" t="str" cm="1">
        <f t="array" ref="X48">_xlfn.TEXTJOIN(", ", TRUE, _xlfn.UNIQUE(_xlfn._xlws.FILTER(Sales_All!$E$2:$E$91, Sales_All!$D$2:$D$91 = D48, "")))</f>
        <v>Monitor, Headphones, Smartphone, Laptop, Printer</v>
      </c>
    </row>
    <row r="49" spans="1:24">
      <c r="A49" s="45" t="s">
        <v>59</v>
      </c>
      <c r="B49" s="40">
        <v>45807.765486111108</v>
      </c>
      <c r="C49" s="45" t="s">
        <v>39</v>
      </c>
      <c r="D49" s="41">
        <v>1003</v>
      </c>
      <c r="E49" s="45" t="s">
        <v>42</v>
      </c>
      <c r="F49" s="41">
        <v>8</v>
      </c>
      <c r="G49" s="45">
        <v>1684</v>
      </c>
      <c r="H49" s="41"/>
      <c r="I49" s="45"/>
      <c r="J49" s="41"/>
      <c r="K49" s="45"/>
      <c r="L49" s="41"/>
      <c r="M49" s="45">
        <f>_xlfn.XLOOKUP(A49, Operations!A:A, Operations!B:B)</f>
        <v>6</v>
      </c>
      <c r="N49" s="42">
        <f>_xlfn.XLOOKUP(A49, Operations!A:A, Operations!C:C)</f>
        <v>0.1</v>
      </c>
      <c r="O49" s="45" t="str">
        <f t="shared" si="1"/>
        <v>Low Efficiency</v>
      </c>
      <c r="P49" s="41">
        <f t="shared" si="2"/>
        <v>13472</v>
      </c>
      <c r="Q49" s="45">
        <f t="shared" si="3"/>
        <v>13472</v>
      </c>
      <c r="R49" s="41">
        <f>P49-(F49-J49)-(Finance!B49+Finance!C49+Finance!D49)</f>
        <v>13464</v>
      </c>
      <c r="S49" s="45" t="str" cm="1">
        <f t="array" ref="S49">_xlfn.IFS(Q49&gt;50000, "VIP", Q49&gt;=20000, "Regular", Q49&lt;20000, "Low Value")</f>
        <v>Low Value</v>
      </c>
      <c r="T49" s="43"/>
      <c r="U49" s="45"/>
      <c r="V49" s="41"/>
      <c r="W49" s="45"/>
      <c r="X49" s="41" t="str" cm="1">
        <f t="array" ref="X49">_xlfn.TEXTJOIN(", ", TRUE, _xlfn.UNIQUE(_xlfn._xlws.FILTER(Sales_All!$E$2:$E$91, Sales_All!$D$2:$D$91 = D49, "")))</f>
        <v>Printer, Monitor, Headphones</v>
      </c>
    </row>
    <row r="50" spans="1:24">
      <c r="A50" s="39" t="s">
        <v>58</v>
      </c>
      <c r="B50" s="40">
        <v>45749.992546296293</v>
      </c>
      <c r="C50" s="39" t="s">
        <v>40</v>
      </c>
      <c r="D50" s="41">
        <v>1010</v>
      </c>
      <c r="E50" s="39" t="s">
        <v>46</v>
      </c>
      <c r="F50" s="41">
        <v>1</v>
      </c>
      <c r="G50" s="39">
        <v>648</v>
      </c>
      <c r="H50" s="41"/>
      <c r="I50" s="39"/>
      <c r="J50" s="41"/>
      <c r="K50" s="39"/>
      <c r="L50" s="41"/>
      <c r="M50" s="39">
        <f>_xlfn.XLOOKUP(A50, Operations!A:A, Operations!B:B)</f>
        <v>8</v>
      </c>
      <c r="N50" s="42">
        <f>_xlfn.XLOOKUP(A50, Operations!A:A, Operations!C:C)</f>
        <v>0.01</v>
      </c>
      <c r="O50" s="39" t="str">
        <f t="shared" si="1"/>
        <v>Low Efficiency</v>
      </c>
      <c r="P50" s="41">
        <f t="shared" si="2"/>
        <v>648</v>
      </c>
      <c r="Q50" s="39">
        <f t="shared" si="3"/>
        <v>648</v>
      </c>
      <c r="R50" s="41">
        <f>P50-(F50-J50)-(Finance!B50+Finance!C50+Finance!D50)</f>
        <v>647</v>
      </c>
      <c r="S50" s="39" t="str" cm="1">
        <f t="array" ref="S50">_xlfn.IFS(Q50&gt;50000, "VIP", Q50&gt;=20000, "Regular", Q50&lt;20000, "Low Value")</f>
        <v>Low Value</v>
      </c>
      <c r="T50" s="43"/>
      <c r="U50" s="39"/>
      <c r="V50" s="41"/>
      <c r="W50" s="39"/>
      <c r="X50" s="41" t="str" cm="1">
        <f t="array" ref="X50">_xlfn.TEXTJOIN(", ", TRUE, _xlfn.UNIQUE(_xlfn._xlws.FILTER(Sales_All!$E$2:$E$91, Sales_All!$D$2:$D$91 = D50, "")))</f>
        <v>Headphones, Smartphone, Monitor, Printer</v>
      </c>
    </row>
    <row r="51" spans="1:24">
      <c r="A51" s="44" t="s">
        <v>57</v>
      </c>
      <c r="B51" s="40">
        <v>45816.867118055547</v>
      </c>
      <c r="C51" s="44" t="s">
        <v>39</v>
      </c>
      <c r="D51" s="41">
        <v>1006</v>
      </c>
      <c r="E51" s="44" t="s">
        <v>45</v>
      </c>
      <c r="F51" s="41">
        <v>6</v>
      </c>
      <c r="G51" s="44">
        <v>634</v>
      </c>
      <c r="H51" s="41"/>
      <c r="I51" s="44"/>
      <c r="J51" s="41"/>
      <c r="K51" s="44"/>
      <c r="L51" s="41"/>
      <c r="M51" s="44">
        <f>_xlfn.XLOOKUP(A51, Operations!A:A, Operations!B:B)</f>
        <v>7</v>
      </c>
      <c r="N51" s="42">
        <f>_xlfn.XLOOKUP(A51, Operations!A:A, Operations!C:C)</f>
        <v>7.0000000000000007E-2</v>
      </c>
      <c r="O51" s="44" t="str">
        <f t="shared" si="1"/>
        <v>Low Efficiency</v>
      </c>
      <c r="P51" s="41">
        <f t="shared" si="2"/>
        <v>3804</v>
      </c>
      <c r="Q51" s="44">
        <f t="shared" si="3"/>
        <v>3804</v>
      </c>
      <c r="R51" s="41">
        <f>P51-(F51-J51)-(Finance!B51+Finance!C51+Finance!D51)</f>
        <v>3798</v>
      </c>
      <c r="S51" s="44" t="str" cm="1">
        <f t="array" ref="S51">_xlfn.IFS(Q51&gt;50000, "VIP", Q51&gt;=20000, "Regular", Q51&lt;20000, "Low Value")</f>
        <v>Low Value</v>
      </c>
      <c r="T51" s="43"/>
      <c r="U51" s="44"/>
      <c r="V51" s="41"/>
      <c r="W51" s="44"/>
      <c r="X51" s="41" t="str" cm="1">
        <f t="array" ref="X51">_xlfn.TEXTJOIN(", ", TRUE, _xlfn.UNIQUE(_xlfn._xlws.FILTER(Sales_All!$E$2:$E$91, Sales_All!$D$2:$D$91 = D51, "")))</f>
        <v>Laptop, Headphones, Monitor</v>
      </c>
    </row>
    <row r="52" spans="1:24">
      <c r="A52" s="39" t="s">
        <v>56</v>
      </c>
      <c r="B52" s="40">
        <v>45835.860034722216</v>
      </c>
      <c r="C52" s="39" t="s">
        <v>38</v>
      </c>
      <c r="D52" s="41">
        <v>1007</v>
      </c>
      <c r="E52" s="39" t="s">
        <v>45</v>
      </c>
      <c r="F52" s="41">
        <v>3</v>
      </c>
      <c r="G52" s="39">
        <v>119</v>
      </c>
      <c r="H52" s="41"/>
      <c r="I52" s="39"/>
      <c r="J52" s="41"/>
      <c r="K52" s="39"/>
      <c r="L52" s="41"/>
      <c r="M52" s="39">
        <f>_xlfn.XLOOKUP(A52, Operations!A:A, Operations!B:B)</f>
        <v>7</v>
      </c>
      <c r="N52" s="42">
        <f>_xlfn.XLOOKUP(A52, Operations!A:A, Operations!C:C)</f>
        <v>0.05</v>
      </c>
      <c r="O52" s="39" t="str">
        <f t="shared" si="1"/>
        <v>Low Efficiency</v>
      </c>
      <c r="P52" s="41">
        <f t="shared" si="2"/>
        <v>357</v>
      </c>
      <c r="Q52" s="39">
        <f t="shared" si="3"/>
        <v>357</v>
      </c>
      <c r="R52" s="41">
        <f>P52-(F52-J52)-(Finance!B52+Finance!C52+Finance!D52)</f>
        <v>354</v>
      </c>
      <c r="S52" s="39" t="str" cm="1">
        <f t="array" ref="S52">_xlfn.IFS(Q52&gt;50000, "VIP", Q52&gt;=20000, "Regular", Q52&lt;20000, "Low Value")</f>
        <v>Low Value</v>
      </c>
      <c r="T52" s="43"/>
      <c r="U52" s="39"/>
      <c r="V52" s="41"/>
      <c r="W52" s="39"/>
      <c r="X52" s="41" t="str" cm="1">
        <f t="array" ref="X52">_xlfn.TEXTJOIN(", ", TRUE, _xlfn.UNIQUE(_xlfn._xlws.FILTER(Sales_All!$E$2:$E$91, Sales_All!$D$2:$D$91 = D52, "")))</f>
        <v>Monitor, Laptop, Smartphone</v>
      </c>
    </row>
    <row r="53" spans="1:24">
      <c r="A53" s="44" t="s">
        <v>55</v>
      </c>
      <c r="B53" s="40">
        <v>45773.565625000003</v>
      </c>
      <c r="C53" s="44" t="s">
        <v>38</v>
      </c>
      <c r="D53" s="41">
        <v>1007</v>
      </c>
      <c r="E53" s="44" t="s">
        <v>44</v>
      </c>
      <c r="F53" s="41">
        <v>6</v>
      </c>
      <c r="G53" s="44">
        <v>1219</v>
      </c>
      <c r="H53" s="41"/>
      <c r="I53" s="44"/>
      <c r="J53" s="41"/>
      <c r="K53" s="44"/>
      <c r="L53" s="41"/>
      <c r="M53" s="44">
        <f>_xlfn.XLOOKUP(A53, Operations!A:A, Operations!B:B)</f>
        <v>3</v>
      </c>
      <c r="N53" s="42">
        <f>_xlfn.XLOOKUP(A53, Operations!A:A, Operations!C:C)</f>
        <v>0.02</v>
      </c>
      <c r="O53" s="44" t="str">
        <f t="shared" si="1"/>
        <v>High Efficiency</v>
      </c>
      <c r="P53" s="41">
        <f t="shared" si="2"/>
        <v>7314</v>
      </c>
      <c r="Q53" s="44">
        <f t="shared" si="3"/>
        <v>7314</v>
      </c>
      <c r="R53" s="41">
        <f>P53-(F53-J53)-(Finance!B53+Finance!C53+Finance!D53)</f>
        <v>7308</v>
      </c>
      <c r="S53" s="44" t="str" cm="1">
        <f t="array" ref="S53">_xlfn.IFS(Q53&gt;50000, "VIP", Q53&gt;=20000, "Regular", Q53&lt;20000, "Low Value")</f>
        <v>Low Value</v>
      </c>
      <c r="T53" s="43"/>
      <c r="U53" s="44"/>
      <c r="V53" s="41"/>
      <c r="W53" s="44"/>
      <c r="X53" s="41" t="str" cm="1">
        <f t="array" ref="X53">_xlfn.TEXTJOIN(", ", TRUE, _xlfn.UNIQUE(_xlfn._xlws.FILTER(Sales_All!$E$2:$E$91, Sales_All!$D$2:$D$91 = D53, "")))</f>
        <v>Monitor, Laptop, Smartphone</v>
      </c>
    </row>
    <row r="54" spans="1:24">
      <c r="A54" s="39" t="s">
        <v>54</v>
      </c>
      <c r="B54" s="40">
        <v>45790.724930555552</v>
      </c>
      <c r="C54" s="39" t="s">
        <v>37</v>
      </c>
      <c r="D54" s="41">
        <v>1020</v>
      </c>
      <c r="E54" s="39" t="s">
        <v>46</v>
      </c>
      <c r="F54" s="41">
        <v>2</v>
      </c>
      <c r="G54" s="39">
        <v>1169</v>
      </c>
      <c r="H54" s="41"/>
      <c r="I54" s="39"/>
      <c r="J54" s="41"/>
      <c r="K54" s="39"/>
      <c r="L54" s="41"/>
      <c r="M54" s="39">
        <f>_xlfn.XLOOKUP(A54, Operations!A:A, Operations!B:B)</f>
        <v>5</v>
      </c>
      <c r="N54" s="42">
        <f>_xlfn.XLOOKUP(A54, Operations!A:A, Operations!C:C)</f>
        <v>0.09</v>
      </c>
      <c r="O54" s="39" t="str">
        <f t="shared" si="1"/>
        <v>Low Efficiency</v>
      </c>
      <c r="P54" s="41">
        <f t="shared" si="2"/>
        <v>2338</v>
      </c>
      <c r="Q54" s="39">
        <f t="shared" si="3"/>
        <v>2338</v>
      </c>
      <c r="R54" s="41">
        <f>P54-(F54-J54)-(Finance!B54+Finance!C54+Finance!D54)</f>
        <v>2336</v>
      </c>
      <c r="S54" s="39" t="str" cm="1">
        <f t="array" ref="S54">_xlfn.IFS(Q54&gt;50000, "VIP", Q54&gt;=20000, "Regular", Q54&lt;20000, "Low Value")</f>
        <v>Low Value</v>
      </c>
      <c r="T54" s="43"/>
      <c r="U54" s="39"/>
      <c r="V54" s="41"/>
      <c r="W54" s="39"/>
      <c r="X54" s="41" t="str" cm="1">
        <f t="array" ref="X54">_xlfn.TEXTJOIN(", ", TRUE, _xlfn.UNIQUE(_xlfn._xlws.FILTER(Sales_All!$E$2:$E$91, Sales_All!$D$2:$D$91 = D54, "")))</f>
        <v>Printer, Headphones, Laptop</v>
      </c>
    </row>
    <row r="55" spans="1:24">
      <c r="A55" s="44" t="s">
        <v>53</v>
      </c>
      <c r="B55" s="40">
        <v>45790.060497685183</v>
      </c>
      <c r="C55" s="44" t="s">
        <v>38</v>
      </c>
      <c r="D55" s="41">
        <v>1019</v>
      </c>
      <c r="E55" s="44" t="s">
        <v>42</v>
      </c>
      <c r="F55" s="41">
        <v>4</v>
      </c>
      <c r="G55" s="44">
        <v>1964</v>
      </c>
      <c r="H55" s="41"/>
      <c r="I55" s="44"/>
      <c r="J55" s="41"/>
      <c r="K55" s="44"/>
      <c r="L55" s="41"/>
      <c r="M55" s="44">
        <f>_xlfn.XLOOKUP(A55, Operations!A:A, Operations!B:B)</f>
        <v>3</v>
      </c>
      <c r="N55" s="42">
        <f>_xlfn.XLOOKUP(A55, Operations!A:A, Operations!C:C)</f>
        <v>0.02</v>
      </c>
      <c r="O55" s="44" t="str">
        <f t="shared" si="1"/>
        <v>High Efficiency</v>
      </c>
      <c r="P55" s="41">
        <f t="shared" si="2"/>
        <v>7856</v>
      </c>
      <c r="Q55" s="44">
        <f t="shared" si="3"/>
        <v>7856</v>
      </c>
      <c r="R55" s="41">
        <f>P55-(F55-J55)-(Finance!B55+Finance!C55+Finance!D55)</f>
        <v>7852</v>
      </c>
      <c r="S55" s="44" t="str" cm="1">
        <f t="array" ref="S55">_xlfn.IFS(Q55&gt;50000, "VIP", Q55&gt;=20000, "Regular", Q55&lt;20000, "Low Value")</f>
        <v>Low Value</v>
      </c>
      <c r="T55" s="43"/>
      <c r="U55" s="44"/>
      <c r="V55" s="41"/>
      <c r="W55" s="44"/>
      <c r="X55" s="41" t="str" cm="1">
        <f t="array" ref="X55">_xlfn.TEXTJOIN(", ", TRUE, _xlfn.UNIQUE(_xlfn._xlws.FILTER(Sales_All!$E$2:$E$91, Sales_All!$D$2:$D$91 = D55, "")))</f>
        <v>Laptop, Headphones, Tablet, Monitor</v>
      </c>
    </row>
    <row r="56" spans="1:24">
      <c r="A56" s="39" t="s">
        <v>52</v>
      </c>
      <c r="B56" s="40">
        <v>45797.920590277783</v>
      </c>
      <c r="C56" s="39" t="s">
        <v>38</v>
      </c>
      <c r="D56" s="41">
        <v>1002</v>
      </c>
      <c r="E56" s="39" t="s">
        <v>41</v>
      </c>
      <c r="F56" s="41">
        <v>4</v>
      </c>
      <c r="G56" s="39">
        <v>1929</v>
      </c>
      <c r="H56" s="41"/>
      <c r="I56" s="39"/>
      <c r="J56" s="41"/>
      <c r="K56" s="39"/>
      <c r="L56" s="41"/>
      <c r="M56" s="39">
        <f>_xlfn.XLOOKUP(A56, Operations!A:A, Operations!B:B)</f>
        <v>8</v>
      </c>
      <c r="N56" s="42">
        <f>_xlfn.XLOOKUP(A56, Operations!A:A, Operations!C:C)</f>
        <v>0.1</v>
      </c>
      <c r="O56" s="39" t="str">
        <f t="shared" si="1"/>
        <v>Low Efficiency</v>
      </c>
      <c r="P56" s="41">
        <f t="shared" si="2"/>
        <v>7716</v>
      </c>
      <c r="Q56" s="39">
        <f t="shared" si="3"/>
        <v>7716</v>
      </c>
      <c r="R56" s="41">
        <f>P56-(F56-J56)-(Finance!B56+Finance!C56+Finance!D56)</f>
        <v>7712</v>
      </c>
      <c r="S56" s="39" t="str" cm="1">
        <f t="array" ref="S56">_xlfn.IFS(Q56&gt;50000, "VIP", Q56&gt;=20000, "Regular", Q56&lt;20000, "Low Value")</f>
        <v>Low Value</v>
      </c>
      <c r="T56" s="43"/>
      <c r="U56" s="39"/>
      <c r="V56" s="41"/>
      <c r="W56" s="39"/>
      <c r="X56" s="41" t="str" cm="1">
        <f t="array" ref="X56">_xlfn.TEXTJOIN(", ", TRUE, _xlfn.UNIQUE(_xlfn._xlws.FILTER(Sales_All!$E$2:$E$91, Sales_All!$D$2:$D$91 = D56, "")))</f>
        <v>Tablet, Laptop, Headphones</v>
      </c>
    </row>
    <row r="57" spans="1:24">
      <c r="A57" s="44" t="s">
        <v>51</v>
      </c>
      <c r="B57" s="40">
        <v>45756.893043981479</v>
      </c>
      <c r="C57" s="44" t="s">
        <v>39</v>
      </c>
      <c r="D57" s="41">
        <v>1005</v>
      </c>
      <c r="E57" s="44" t="s">
        <v>46</v>
      </c>
      <c r="F57" s="41">
        <v>2</v>
      </c>
      <c r="G57" s="44">
        <v>109</v>
      </c>
      <c r="H57" s="41"/>
      <c r="I57" s="44"/>
      <c r="J57" s="41"/>
      <c r="K57" s="44"/>
      <c r="L57" s="41"/>
      <c r="M57" s="44">
        <f>_xlfn.XLOOKUP(A57, Operations!A:A, Operations!B:B)</f>
        <v>2</v>
      </c>
      <c r="N57" s="42">
        <f>_xlfn.XLOOKUP(A57, Operations!A:A, Operations!C:C)</f>
        <v>0.06</v>
      </c>
      <c r="O57" s="44" t="str">
        <f t="shared" si="1"/>
        <v>Low Efficiency</v>
      </c>
      <c r="P57" s="41">
        <f t="shared" si="2"/>
        <v>218</v>
      </c>
      <c r="Q57" s="44">
        <f t="shared" si="3"/>
        <v>218</v>
      </c>
      <c r="R57" s="41">
        <f>P57-(F57-J57)-(Finance!B57+Finance!C57+Finance!D57)</f>
        <v>216</v>
      </c>
      <c r="S57" s="44" t="str" cm="1">
        <f t="array" ref="S57">_xlfn.IFS(Q57&gt;50000, "VIP", Q57&gt;=20000, "Regular", Q57&lt;20000, "Low Value")</f>
        <v>Low Value</v>
      </c>
      <c r="T57" s="43"/>
      <c r="U57" s="44"/>
      <c r="V57" s="41"/>
      <c r="W57" s="44"/>
      <c r="X57" s="41" t="str" cm="1">
        <f t="array" ref="X57">_xlfn.TEXTJOIN(", ", TRUE, _xlfn.UNIQUE(_xlfn._xlws.FILTER(Sales_All!$E$2:$E$91, Sales_All!$D$2:$D$91 = D57, "")))</f>
        <v>Monitor, Printer, Tablet</v>
      </c>
    </row>
    <row r="58" spans="1:24">
      <c r="A58" s="39" t="s">
        <v>50</v>
      </c>
      <c r="B58" s="40">
        <v>45782.080439814818</v>
      </c>
      <c r="C58" s="39" t="s">
        <v>40</v>
      </c>
      <c r="D58" s="41">
        <v>1009</v>
      </c>
      <c r="E58" s="39" t="s">
        <v>44</v>
      </c>
      <c r="F58" s="41">
        <v>9</v>
      </c>
      <c r="G58" s="39">
        <v>249</v>
      </c>
      <c r="H58" s="41"/>
      <c r="I58" s="39"/>
      <c r="J58" s="41"/>
      <c r="K58" s="39"/>
      <c r="L58" s="41"/>
      <c r="M58" s="39">
        <f>_xlfn.XLOOKUP(A58, Operations!A:A, Operations!B:B)</f>
        <v>7</v>
      </c>
      <c r="N58" s="42">
        <f>_xlfn.XLOOKUP(A58, Operations!A:A, Operations!C:C)</f>
        <v>0.02</v>
      </c>
      <c r="O58" s="39" t="str">
        <f t="shared" si="1"/>
        <v>Low Efficiency</v>
      </c>
      <c r="P58" s="41">
        <f t="shared" si="2"/>
        <v>2241</v>
      </c>
      <c r="Q58" s="39">
        <f t="shared" si="3"/>
        <v>2241</v>
      </c>
      <c r="R58" s="41">
        <f>P58-(F58-J58)-(Finance!B58+Finance!C58+Finance!D58)</f>
        <v>2232</v>
      </c>
      <c r="S58" s="39" t="str" cm="1">
        <f t="array" ref="S58">_xlfn.IFS(Q58&gt;50000, "VIP", Q58&gt;=20000, "Regular", Q58&lt;20000, "Low Value")</f>
        <v>Low Value</v>
      </c>
      <c r="T58" s="43"/>
      <c r="U58" s="39"/>
      <c r="V58" s="41"/>
      <c r="W58" s="39"/>
      <c r="X58" s="41" t="str" cm="1">
        <f t="array" ref="X58">_xlfn.TEXTJOIN(", ", TRUE, _xlfn.UNIQUE(_xlfn._xlws.FILTER(Sales_All!$E$2:$E$91, Sales_All!$D$2:$D$91 = D58, "")))</f>
        <v>Monitor, Headphones, Smartphone, Laptop, Printer</v>
      </c>
    </row>
    <row r="59" spans="1:24">
      <c r="A59" s="44" t="s">
        <v>49</v>
      </c>
      <c r="B59" s="40">
        <v>45770.850115740737</v>
      </c>
      <c r="C59" s="44" t="s">
        <v>39</v>
      </c>
      <c r="D59" s="41">
        <v>1018</v>
      </c>
      <c r="E59" s="44" t="s">
        <v>42</v>
      </c>
      <c r="F59" s="41">
        <v>7</v>
      </c>
      <c r="G59" s="44">
        <v>520</v>
      </c>
      <c r="H59" s="41"/>
      <c r="I59" s="44"/>
      <c r="J59" s="41"/>
      <c r="K59" s="44"/>
      <c r="L59" s="41"/>
      <c r="M59" s="44">
        <f>_xlfn.XLOOKUP(A59, Operations!A:A, Operations!B:B)</f>
        <v>7</v>
      </c>
      <c r="N59" s="42">
        <f>_xlfn.XLOOKUP(A59, Operations!A:A, Operations!C:C)</f>
        <v>0.04</v>
      </c>
      <c r="O59" s="44" t="str">
        <f t="shared" si="1"/>
        <v>Low Efficiency</v>
      </c>
      <c r="P59" s="41">
        <f t="shared" si="2"/>
        <v>3640</v>
      </c>
      <c r="Q59" s="44">
        <f t="shared" si="3"/>
        <v>3640</v>
      </c>
      <c r="R59" s="41">
        <f>P59-(F59-J59)-(Finance!B59+Finance!C59+Finance!D59)</f>
        <v>3633</v>
      </c>
      <c r="S59" s="44" t="str" cm="1">
        <f t="array" ref="S59">_xlfn.IFS(Q59&gt;50000, "VIP", Q59&gt;=20000, "Regular", Q59&lt;20000, "Low Value")</f>
        <v>Low Value</v>
      </c>
      <c r="T59" s="43"/>
      <c r="U59" s="44"/>
      <c r="V59" s="41"/>
      <c r="W59" s="44"/>
      <c r="X59" s="41" t="str" cm="1">
        <f t="array" ref="X59">_xlfn.TEXTJOIN(", ", TRUE, _xlfn.UNIQUE(_xlfn._xlws.FILTER(Sales_All!$E$2:$E$91, Sales_All!$D$2:$D$91 = D59, "")))</f>
        <v>Tablet, Smartphone, Headphones, Monitor, Laptop</v>
      </c>
    </row>
    <row r="60" spans="1:24">
      <c r="A60" s="39" t="s">
        <v>48</v>
      </c>
      <c r="B60" s="40">
        <v>45811.899641203701</v>
      </c>
      <c r="C60" s="39" t="s">
        <v>37</v>
      </c>
      <c r="D60" s="41">
        <v>1007</v>
      </c>
      <c r="E60" s="39" t="s">
        <v>43</v>
      </c>
      <c r="F60" s="41">
        <v>9</v>
      </c>
      <c r="G60" s="39">
        <v>854</v>
      </c>
      <c r="H60" s="41"/>
      <c r="I60" s="39"/>
      <c r="J60" s="41"/>
      <c r="K60" s="39"/>
      <c r="L60" s="41"/>
      <c r="M60" s="39">
        <f>_xlfn.XLOOKUP(A60, Operations!A:A, Operations!B:B)</f>
        <v>1</v>
      </c>
      <c r="N60" s="42">
        <f>_xlfn.XLOOKUP(A60, Operations!A:A, Operations!C:C)</f>
        <v>0.02</v>
      </c>
      <c r="O60" s="39" t="str">
        <f t="shared" si="1"/>
        <v>High Efficiency</v>
      </c>
      <c r="P60" s="41">
        <f t="shared" si="2"/>
        <v>7686</v>
      </c>
      <c r="Q60" s="39">
        <f t="shared" si="3"/>
        <v>7686</v>
      </c>
      <c r="R60" s="41">
        <f>P60-(F60-J60)-(Finance!B60+Finance!C60+Finance!D60)</f>
        <v>7677</v>
      </c>
      <c r="S60" s="39" t="str" cm="1">
        <f t="array" ref="S60">_xlfn.IFS(Q60&gt;50000, "VIP", Q60&gt;=20000, "Regular", Q60&lt;20000, "Low Value")</f>
        <v>Low Value</v>
      </c>
      <c r="T60" s="43"/>
      <c r="U60" s="39"/>
      <c r="V60" s="41"/>
      <c r="W60" s="39"/>
      <c r="X60" s="41" t="str" cm="1">
        <f t="array" ref="X60">_xlfn.TEXTJOIN(", ", TRUE, _xlfn.UNIQUE(_xlfn._xlws.FILTER(Sales_All!$E$2:$E$91, Sales_All!$D$2:$D$91 = D60, "")))</f>
        <v>Monitor, Laptop, Smartphone</v>
      </c>
    </row>
    <row r="61" spans="1:24">
      <c r="A61" s="44" t="s">
        <v>47</v>
      </c>
      <c r="B61" s="40">
        <v>45752.782893518517</v>
      </c>
      <c r="C61" s="44" t="s">
        <v>39</v>
      </c>
      <c r="D61" s="41">
        <v>1006</v>
      </c>
      <c r="E61" s="44" t="s">
        <v>42</v>
      </c>
      <c r="F61" s="41">
        <v>2</v>
      </c>
      <c r="G61" s="44">
        <v>1035</v>
      </c>
      <c r="H61" s="41"/>
      <c r="I61" s="44"/>
      <c r="J61" s="41"/>
      <c r="K61" s="44"/>
      <c r="L61" s="41"/>
      <c r="M61" s="44">
        <f>_xlfn.XLOOKUP(A61, Operations!A:A, Operations!B:B)</f>
        <v>8</v>
      </c>
      <c r="N61" s="42">
        <f>_xlfn.XLOOKUP(A61, Operations!A:A, Operations!C:C)</f>
        <v>0.04</v>
      </c>
      <c r="O61" s="44" t="str">
        <f t="shared" si="1"/>
        <v>Low Efficiency</v>
      </c>
      <c r="P61" s="41">
        <f t="shared" si="2"/>
        <v>2070</v>
      </c>
      <c r="Q61" s="44">
        <f t="shared" si="3"/>
        <v>2070</v>
      </c>
      <c r="R61" s="41">
        <f>P61-(F61-J61)-(Finance!B61+Finance!C61+Finance!D61)</f>
        <v>2068</v>
      </c>
      <c r="S61" s="44" t="str" cm="1">
        <f t="array" ref="S61">_xlfn.IFS(Q61&gt;50000, "VIP", Q61&gt;=20000, "Regular", Q61&lt;20000, "Low Value")</f>
        <v>Low Value</v>
      </c>
      <c r="T61" s="43"/>
      <c r="U61" s="44"/>
      <c r="V61" s="41"/>
      <c r="W61" s="44"/>
      <c r="X61" s="41" t="str" cm="1">
        <f t="array" ref="X61">_xlfn.TEXTJOIN(", ", TRUE, _xlfn.UNIQUE(_xlfn._xlws.FILTER(Sales_All!$E$2:$E$91, Sales_All!$D$2:$D$91 = D61, "")))</f>
        <v>Laptop, Headphones, Monitor</v>
      </c>
    </row>
    <row r="62" spans="1:24">
      <c r="A62" s="39" t="s">
        <v>106</v>
      </c>
      <c r="B62" s="40">
        <v>45839.827893518523</v>
      </c>
      <c r="C62" s="39" t="s">
        <v>40</v>
      </c>
      <c r="D62" s="41">
        <v>1001</v>
      </c>
      <c r="E62" s="39" t="s">
        <v>43</v>
      </c>
      <c r="F62" s="41">
        <v>4</v>
      </c>
      <c r="G62" s="39">
        <v>160</v>
      </c>
      <c r="H62" s="41"/>
      <c r="I62" s="39"/>
      <c r="J62" s="41"/>
      <c r="K62" s="39"/>
      <c r="L62" s="41"/>
      <c r="M62" s="39">
        <f>_xlfn.XLOOKUP(A62, Operations!A:A, Operations!B:B)</f>
        <v>3</v>
      </c>
      <c r="N62" s="42">
        <f>_xlfn.XLOOKUP(A62, Operations!A:A, Operations!C:C)</f>
        <v>0.06</v>
      </c>
      <c r="O62" s="39" t="str">
        <f t="shared" si="1"/>
        <v>Low Efficiency</v>
      </c>
      <c r="P62" s="41">
        <f t="shared" si="2"/>
        <v>640</v>
      </c>
      <c r="Q62" s="39">
        <f t="shared" si="3"/>
        <v>640</v>
      </c>
      <c r="R62" s="41">
        <f>P62-(F62-J62)-(Finance!B62+Finance!C62+Finance!D62)</f>
        <v>636</v>
      </c>
      <c r="S62" s="39" t="str" cm="1">
        <f t="array" ref="S62">_xlfn.IFS(Q62&gt;50000, "VIP", Q62&gt;=20000, "Regular", Q62&lt;20000, "Low Value")</f>
        <v>Low Value</v>
      </c>
      <c r="T62" s="43"/>
      <c r="U62" s="39"/>
      <c r="V62" s="41"/>
      <c r="W62" s="39"/>
      <c r="X62" s="41" t="str" cm="1">
        <f t="array" ref="X62">_xlfn.TEXTJOIN(", ", TRUE, _xlfn.UNIQUE(_xlfn._xlws.FILTER(Sales_All!$E$2:$E$91, Sales_All!$D$2:$D$91 = D62, "")))</f>
        <v>Printer, Monitor, Smartphone, Headphones, Laptop</v>
      </c>
    </row>
    <row r="63" spans="1:24">
      <c r="A63" s="44" t="s">
        <v>105</v>
      </c>
      <c r="B63" s="40">
        <v>45859.499537037038</v>
      </c>
      <c r="C63" s="44" t="s">
        <v>37</v>
      </c>
      <c r="D63" s="41">
        <v>1001</v>
      </c>
      <c r="E63" s="44" t="s">
        <v>43</v>
      </c>
      <c r="F63" s="41">
        <v>1</v>
      </c>
      <c r="G63" s="44">
        <v>233</v>
      </c>
      <c r="H63" s="41"/>
      <c r="I63" s="44"/>
      <c r="J63" s="41"/>
      <c r="K63" s="44"/>
      <c r="L63" s="41"/>
      <c r="M63" s="44">
        <f>_xlfn.XLOOKUP(A63, Operations!A:A, Operations!B:B)</f>
        <v>4</v>
      </c>
      <c r="N63" s="42">
        <f>_xlfn.XLOOKUP(A63, Operations!A:A, Operations!C:C)</f>
        <v>7.0000000000000007E-2</v>
      </c>
      <c r="O63" s="44" t="str">
        <f t="shared" si="1"/>
        <v>Low Efficiency</v>
      </c>
      <c r="P63" s="41">
        <f t="shared" si="2"/>
        <v>233</v>
      </c>
      <c r="Q63" s="44">
        <f t="shared" si="3"/>
        <v>233</v>
      </c>
      <c r="R63" s="41">
        <f>P63-(F63-J63)-(Finance!B63+Finance!C63+Finance!D63)</f>
        <v>232</v>
      </c>
      <c r="S63" s="44" t="str" cm="1">
        <f t="array" ref="S63">_xlfn.IFS(Q63&gt;50000, "VIP", Q63&gt;=20000, "Regular", Q63&lt;20000, "Low Value")</f>
        <v>Low Value</v>
      </c>
      <c r="T63" s="43"/>
      <c r="U63" s="44"/>
      <c r="V63" s="41"/>
      <c r="W63" s="44"/>
      <c r="X63" s="41" t="str" cm="1">
        <f t="array" ref="X63">_xlfn.TEXTJOIN(", ", TRUE, _xlfn.UNIQUE(_xlfn._xlws.FILTER(Sales_All!$E$2:$E$91, Sales_All!$D$2:$D$91 = D63, "")))</f>
        <v>Printer, Monitor, Smartphone, Headphones, Laptop</v>
      </c>
    </row>
    <row r="64" spans="1:24">
      <c r="A64" s="39" t="s">
        <v>104</v>
      </c>
      <c r="B64" s="40">
        <v>45894.505104166667</v>
      </c>
      <c r="C64" s="39" t="s">
        <v>38</v>
      </c>
      <c r="D64" s="41">
        <v>1010</v>
      </c>
      <c r="E64" s="39" t="s">
        <v>44</v>
      </c>
      <c r="F64" s="41">
        <v>9</v>
      </c>
      <c r="G64" s="39">
        <v>312</v>
      </c>
      <c r="H64" s="41"/>
      <c r="I64" s="39"/>
      <c r="J64" s="41"/>
      <c r="K64" s="39"/>
      <c r="L64" s="41"/>
      <c r="M64" s="39">
        <f>_xlfn.XLOOKUP(A64, Operations!A:A, Operations!B:B)</f>
        <v>6</v>
      </c>
      <c r="N64" s="42">
        <f>_xlfn.XLOOKUP(A64, Operations!A:A, Operations!C:C)</f>
        <v>0.05</v>
      </c>
      <c r="O64" s="39" t="str">
        <f t="shared" si="1"/>
        <v>Low Efficiency</v>
      </c>
      <c r="P64" s="41">
        <f t="shared" si="2"/>
        <v>2808</v>
      </c>
      <c r="Q64" s="39">
        <f t="shared" si="3"/>
        <v>2808</v>
      </c>
      <c r="R64" s="41">
        <f>P64-(F64-J64)-(Finance!B64+Finance!C64+Finance!D64)</f>
        <v>2799</v>
      </c>
      <c r="S64" s="39" t="str" cm="1">
        <f t="array" ref="S64">_xlfn.IFS(Q64&gt;50000, "VIP", Q64&gt;=20000, "Regular", Q64&lt;20000, "Low Value")</f>
        <v>Low Value</v>
      </c>
      <c r="T64" s="43"/>
      <c r="U64" s="39"/>
      <c r="V64" s="41"/>
      <c r="W64" s="39"/>
      <c r="X64" s="41" t="str" cm="1">
        <f t="array" ref="X64">_xlfn.TEXTJOIN(", ", TRUE, _xlfn.UNIQUE(_xlfn._xlws.FILTER(Sales_All!$E$2:$E$91, Sales_All!$D$2:$D$91 = D64, "")))</f>
        <v>Headphones, Smartphone, Monitor, Printer</v>
      </c>
    </row>
    <row r="65" spans="1:24">
      <c r="A65" s="44" t="s">
        <v>103</v>
      </c>
      <c r="B65" s="40">
        <v>45844.2341087963</v>
      </c>
      <c r="C65" s="44" t="s">
        <v>39</v>
      </c>
      <c r="D65" s="41">
        <v>1019</v>
      </c>
      <c r="E65" s="44" t="s">
        <v>45</v>
      </c>
      <c r="F65" s="41">
        <v>3</v>
      </c>
      <c r="G65" s="44">
        <v>603</v>
      </c>
      <c r="H65" s="41"/>
      <c r="I65" s="44"/>
      <c r="J65" s="41"/>
      <c r="K65" s="44"/>
      <c r="L65" s="41"/>
      <c r="M65" s="44">
        <f>_xlfn.XLOOKUP(A65, Operations!A:A, Operations!B:B)</f>
        <v>5</v>
      </c>
      <c r="N65" s="42">
        <f>_xlfn.XLOOKUP(A65, Operations!A:A, Operations!C:C)</f>
        <v>0.03</v>
      </c>
      <c r="O65" s="44" t="str">
        <f t="shared" si="1"/>
        <v>High Efficiency</v>
      </c>
      <c r="P65" s="41">
        <f t="shared" si="2"/>
        <v>1809</v>
      </c>
      <c r="Q65" s="44">
        <f t="shared" si="3"/>
        <v>1809</v>
      </c>
      <c r="R65" s="41">
        <f>P65-(F65-J65)-(Finance!B65+Finance!C65+Finance!D65)</f>
        <v>1806</v>
      </c>
      <c r="S65" s="44" t="str" cm="1">
        <f t="array" ref="S65">_xlfn.IFS(Q65&gt;50000, "VIP", Q65&gt;=20000, "Regular", Q65&lt;20000, "Low Value")</f>
        <v>Low Value</v>
      </c>
      <c r="T65" s="43"/>
      <c r="U65" s="44"/>
      <c r="V65" s="41"/>
      <c r="W65" s="44"/>
      <c r="X65" s="41" t="str" cm="1">
        <f t="array" ref="X65">_xlfn.TEXTJOIN(", ", TRUE, _xlfn.UNIQUE(_xlfn._xlws.FILTER(Sales_All!$E$2:$E$91, Sales_All!$D$2:$D$91 = D65, "")))</f>
        <v>Laptop, Headphones, Tablet, Monitor</v>
      </c>
    </row>
    <row r="66" spans="1:24">
      <c r="A66" s="45" t="s">
        <v>102</v>
      </c>
      <c r="B66" s="40">
        <v>45850.673425925917</v>
      </c>
      <c r="C66" s="45" t="s">
        <v>37</v>
      </c>
      <c r="D66" s="41">
        <v>1006</v>
      </c>
      <c r="E66" s="45" t="s">
        <v>43</v>
      </c>
      <c r="F66" s="41">
        <v>8</v>
      </c>
      <c r="G66" s="45">
        <v>1987</v>
      </c>
      <c r="H66" s="41"/>
      <c r="I66" s="45"/>
      <c r="J66" s="41"/>
      <c r="K66" s="45"/>
      <c r="L66" s="41"/>
      <c r="M66" s="45">
        <f>_xlfn.XLOOKUP(A66, Operations!A:A, Operations!B:B)</f>
        <v>3</v>
      </c>
      <c r="N66" s="42">
        <f>_xlfn.XLOOKUP(A66, Operations!A:A, Operations!C:C)</f>
        <v>0.06</v>
      </c>
      <c r="O66" s="45" t="str">
        <f t="shared" si="1"/>
        <v>Low Efficiency</v>
      </c>
      <c r="P66" s="41">
        <f t="shared" si="2"/>
        <v>15896</v>
      </c>
      <c r="Q66" s="45">
        <f t="shared" si="3"/>
        <v>15896</v>
      </c>
      <c r="R66" s="41">
        <f>P66-(F66-J66)-(Finance!B66+Finance!C66+Finance!D66)</f>
        <v>15888</v>
      </c>
      <c r="S66" s="45" t="str" cm="1">
        <f t="array" ref="S66">_xlfn.IFS(Q66&gt;50000, "VIP", Q66&gt;=20000, "Regular", Q66&lt;20000, "Low Value")</f>
        <v>Low Value</v>
      </c>
      <c r="T66" s="43"/>
      <c r="U66" s="45"/>
      <c r="V66" s="41"/>
      <c r="W66" s="45"/>
      <c r="X66" s="41" t="str" cm="1">
        <f t="array" ref="X66">_xlfn.TEXTJOIN(", ", TRUE, _xlfn.UNIQUE(_xlfn._xlws.FILTER(Sales_All!$E$2:$E$91, Sales_All!$D$2:$D$91 = D66, "")))</f>
        <v>Laptop, Headphones, Monitor</v>
      </c>
    </row>
    <row r="67" spans="1:24">
      <c r="A67" s="44" t="s">
        <v>101</v>
      </c>
      <c r="B67" s="40">
        <v>45891.79111111111</v>
      </c>
      <c r="C67" s="44" t="s">
        <v>40</v>
      </c>
      <c r="D67" s="41">
        <v>1008</v>
      </c>
      <c r="E67" s="44" t="s">
        <v>45</v>
      </c>
      <c r="F67" s="41">
        <v>3</v>
      </c>
      <c r="G67" s="44">
        <v>589</v>
      </c>
      <c r="H67" s="41"/>
      <c r="I67" s="44"/>
      <c r="J67" s="41"/>
      <c r="K67" s="44"/>
      <c r="L67" s="41"/>
      <c r="M67" s="44">
        <f>_xlfn.XLOOKUP(A67, Operations!A:A, Operations!B:B)</f>
        <v>5</v>
      </c>
      <c r="N67" s="42">
        <f>_xlfn.XLOOKUP(A67, Operations!A:A, Operations!C:C)</f>
        <v>0.04</v>
      </c>
      <c r="O67" s="44" t="str">
        <f t="shared" ref="O67:O91" si="4">IF(AND(M67&lt;=5, N67&lt;=0.05), "High Efficiency", "Low Efficiency")</f>
        <v>High Efficiency</v>
      </c>
      <c r="P67" s="41">
        <f t="shared" ref="P67:P91" si="5">F67*G67</f>
        <v>1767</v>
      </c>
      <c r="Q67" s="44">
        <f t="shared" ref="Q67:Q91" si="6">P67*(1-K67%)</f>
        <v>1767</v>
      </c>
      <c r="R67" s="41">
        <f>P67-(F67-J67)-(Finance!B67+Finance!C67+Finance!D67)</f>
        <v>1764</v>
      </c>
      <c r="S67" s="44" t="str" cm="1">
        <f t="array" ref="S67">_xlfn.IFS(Q67&gt;50000, "VIP", Q67&gt;=20000, "Regular", Q67&lt;20000, "Low Value")</f>
        <v>Low Value</v>
      </c>
      <c r="T67" s="43"/>
      <c r="U67" s="44"/>
      <c r="V67" s="41"/>
      <c r="W67" s="44"/>
      <c r="X67" s="41" t="str" cm="1">
        <f t="array" ref="X67">_xlfn.TEXTJOIN(", ", TRUE, _xlfn.UNIQUE(_xlfn._xlws.FILTER(Sales_All!$E$2:$E$91, Sales_All!$D$2:$D$91 = D67, "")))</f>
        <v>Smartphone, Headphones, Laptop</v>
      </c>
    </row>
    <row r="68" spans="1:24">
      <c r="A68" s="39" t="s">
        <v>100</v>
      </c>
      <c r="B68" s="40">
        <v>45886.32172453704</v>
      </c>
      <c r="C68" s="39" t="s">
        <v>39</v>
      </c>
      <c r="D68" s="41">
        <v>1006</v>
      </c>
      <c r="E68" s="39" t="s">
        <v>42</v>
      </c>
      <c r="F68" s="41">
        <v>2</v>
      </c>
      <c r="G68" s="39">
        <v>1742</v>
      </c>
      <c r="H68" s="41"/>
      <c r="I68" s="39"/>
      <c r="J68" s="41"/>
      <c r="K68" s="39"/>
      <c r="L68" s="41"/>
      <c r="M68" s="39">
        <f>_xlfn.XLOOKUP(A68, Operations!A:A, Operations!B:B)</f>
        <v>4</v>
      </c>
      <c r="N68" s="42">
        <f>_xlfn.XLOOKUP(A68, Operations!A:A, Operations!C:C)</f>
        <v>0.04</v>
      </c>
      <c r="O68" s="39" t="str">
        <f t="shared" si="4"/>
        <v>High Efficiency</v>
      </c>
      <c r="P68" s="41">
        <f t="shared" si="5"/>
        <v>3484</v>
      </c>
      <c r="Q68" s="39">
        <f t="shared" si="6"/>
        <v>3484</v>
      </c>
      <c r="R68" s="41">
        <f>P68-(F68-J68)-(Finance!B68+Finance!C68+Finance!D68)</f>
        <v>3482</v>
      </c>
      <c r="S68" s="39" t="str" cm="1">
        <f t="array" ref="S68">_xlfn.IFS(Q68&gt;50000, "VIP", Q68&gt;=20000, "Regular", Q68&lt;20000, "Low Value")</f>
        <v>Low Value</v>
      </c>
      <c r="T68" s="43"/>
      <c r="U68" s="39"/>
      <c r="V68" s="41"/>
      <c r="W68" s="39"/>
      <c r="X68" s="41" t="str" cm="1">
        <f t="array" ref="X68">_xlfn.TEXTJOIN(", ", TRUE, _xlfn.UNIQUE(_xlfn._xlws.FILTER(Sales_All!$E$2:$E$91, Sales_All!$D$2:$D$91 = D68, "")))</f>
        <v>Laptop, Headphones, Monitor</v>
      </c>
    </row>
    <row r="69" spans="1:24">
      <c r="A69" s="44" t="s">
        <v>99</v>
      </c>
      <c r="B69" s="40">
        <v>45857.334780092591</v>
      </c>
      <c r="C69" s="44" t="s">
        <v>37</v>
      </c>
      <c r="D69" s="41">
        <v>1015</v>
      </c>
      <c r="E69" s="44" t="s">
        <v>44</v>
      </c>
      <c r="F69" s="41">
        <v>4</v>
      </c>
      <c r="G69" s="44">
        <v>1461</v>
      </c>
      <c r="H69" s="41"/>
      <c r="I69" s="44"/>
      <c r="J69" s="41"/>
      <c r="K69" s="44"/>
      <c r="L69" s="41"/>
      <c r="M69" s="44">
        <f>_xlfn.XLOOKUP(A69, Operations!A:A, Operations!B:B)</f>
        <v>8</v>
      </c>
      <c r="N69" s="42">
        <f>_xlfn.XLOOKUP(A69, Operations!A:A, Operations!C:C)</f>
        <v>0.03</v>
      </c>
      <c r="O69" s="44" t="str">
        <f t="shared" si="4"/>
        <v>Low Efficiency</v>
      </c>
      <c r="P69" s="41">
        <f t="shared" si="5"/>
        <v>5844</v>
      </c>
      <c r="Q69" s="44">
        <f t="shared" si="6"/>
        <v>5844</v>
      </c>
      <c r="R69" s="41">
        <f>P69-(F69-J69)-(Finance!B69+Finance!C69+Finance!D69)</f>
        <v>5840</v>
      </c>
      <c r="S69" s="44" t="str" cm="1">
        <f t="array" ref="S69">_xlfn.IFS(Q69&gt;50000, "VIP", Q69&gt;=20000, "Regular", Q69&lt;20000, "Low Value")</f>
        <v>Low Value</v>
      </c>
      <c r="T69" s="43"/>
      <c r="U69" s="44"/>
      <c r="V69" s="41"/>
      <c r="W69" s="44"/>
      <c r="X69" s="41" t="str" cm="1">
        <f t="array" ref="X69">_xlfn.TEXTJOIN(", ", TRUE, _xlfn.UNIQUE(_xlfn._xlws.FILTER(Sales_All!$E$2:$E$91, Sales_All!$D$2:$D$91 = D69, "")))</f>
        <v>Smartphone</v>
      </c>
    </row>
    <row r="70" spans="1:24">
      <c r="A70" s="39" t="s">
        <v>98</v>
      </c>
      <c r="B70" s="40">
        <v>45914.314293981479</v>
      </c>
      <c r="C70" s="39" t="s">
        <v>37</v>
      </c>
      <c r="D70" s="41">
        <v>1002</v>
      </c>
      <c r="E70" s="39" t="s">
        <v>45</v>
      </c>
      <c r="F70" s="41">
        <v>3</v>
      </c>
      <c r="G70" s="39">
        <v>1133</v>
      </c>
      <c r="H70" s="41"/>
      <c r="I70" s="39"/>
      <c r="J70" s="41"/>
      <c r="K70" s="39"/>
      <c r="L70" s="41"/>
      <c r="M70" s="39">
        <f>_xlfn.XLOOKUP(A70, Operations!A:A, Operations!B:B)</f>
        <v>1</v>
      </c>
      <c r="N70" s="42">
        <f>_xlfn.XLOOKUP(A70, Operations!A:A, Operations!C:C)</f>
        <v>0.02</v>
      </c>
      <c r="O70" s="39" t="str">
        <f t="shared" si="4"/>
        <v>High Efficiency</v>
      </c>
      <c r="P70" s="41">
        <f t="shared" si="5"/>
        <v>3399</v>
      </c>
      <c r="Q70" s="39">
        <f t="shared" si="6"/>
        <v>3399</v>
      </c>
      <c r="R70" s="41">
        <f>P70-(F70-J70)-(Finance!B70+Finance!C70+Finance!D70)</f>
        <v>3396</v>
      </c>
      <c r="S70" s="39" t="str" cm="1">
        <f t="array" ref="S70">_xlfn.IFS(Q70&gt;50000, "VIP", Q70&gt;=20000, "Regular", Q70&lt;20000, "Low Value")</f>
        <v>Low Value</v>
      </c>
      <c r="T70" s="43"/>
      <c r="U70" s="39"/>
      <c r="V70" s="41"/>
      <c r="W70" s="39"/>
      <c r="X70" s="41" t="str" cm="1">
        <f t="array" ref="X70">_xlfn.TEXTJOIN(", ", TRUE, _xlfn.UNIQUE(_xlfn._xlws.FILTER(Sales_All!$E$2:$E$91, Sales_All!$D$2:$D$91 = D70, "")))</f>
        <v>Tablet, Laptop, Headphones</v>
      </c>
    </row>
    <row r="71" spans="1:24">
      <c r="A71" s="44" t="s">
        <v>97</v>
      </c>
      <c r="B71" s="40">
        <v>45926.581597222219</v>
      </c>
      <c r="C71" s="44" t="s">
        <v>39</v>
      </c>
      <c r="D71" s="41">
        <v>1018</v>
      </c>
      <c r="E71" s="44" t="s">
        <v>43</v>
      </c>
      <c r="F71" s="41">
        <v>5</v>
      </c>
      <c r="G71" s="44">
        <v>644</v>
      </c>
      <c r="H71" s="41"/>
      <c r="I71" s="44"/>
      <c r="J71" s="41"/>
      <c r="K71" s="44"/>
      <c r="L71" s="41"/>
      <c r="M71" s="44">
        <f>_xlfn.XLOOKUP(A71, Operations!A:A, Operations!B:B)</f>
        <v>1</v>
      </c>
      <c r="N71" s="42">
        <f>_xlfn.XLOOKUP(A71, Operations!A:A, Operations!C:C)</f>
        <v>0.05</v>
      </c>
      <c r="O71" s="44" t="str">
        <f t="shared" si="4"/>
        <v>High Efficiency</v>
      </c>
      <c r="P71" s="41">
        <f t="shared" si="5"/>
        <v>3220</v>
      </c>
      <c r="Q71" s="44">
        <f t="shared" si="6"/>
        <v>3220</v>
      </c>
      <c r="R71" s="41">
        <f>P71-(F71-J71)-(Finance!B71+Finance!C71+Finance!D71)</f>
        <v>3215</v>
      </c>
      <c r="S71" s="44" t="str" cm="1">
        <f t="array" ref="S71">_xlfn.IFS(Q71&gt;50000, "VIP", Q71&gt;=20000, "Regular", Q71&lt;20000, "Low Value")</f>
        <v>Low Value</v>
      </c>
      <c r="T71" s="43"/>
      <c r="U71" s="44"/>
      <c r="V71" s="41"/>
      <c r="W71" s="44"/>
      <c r="X71" s="41" t="str" cm="1">
        <f t="array" ref="X71">_xlfn.TEXTJOIN(", ", TRUE, _xlfn.UNIQUE(_xlfn._xlws.FILTER(Sales_All!$E$2:$E$91, Sales_All!$D$2:$D$91 = D71, "")))</f>
        <v>Tablet, Smartphone, Headphones, Monitor, Laptop</v>
      </c>
    </row>
    <row r="72" spans="1:24">
      <c r="A72" s="39" t="s">
        <v>96</v>
      </c>
      <c r="B72" s="40">
        <v>45897.155312499999</v>
      </c>
      <c r="C72" s="39" t="s">
        <v>40</v>
      </c>
      <c r="D72" s="41">
        <v>1002</v>
      </c>
      <c r="E72" s="39" t="s">
        <v>42</v>
      </c>
      <c r="F72" s="41">
        <v>2</v>
      </c>
      <c r="G72" s="39">
        <v>1265</v>
      </c>
      <c r="H72" s="41"/>
      <c r="I72" s="39"/>
      <c r="J72" s="41"/>
      <c r="K72" s="39"/>
      <c r="L72" s="41"/>
      <c r="M72" s="39">
        <f>_xlfn.XLOOKUP(A72, Operations!A:A, Operations!B:B)</f>
        <v>6</v>
      </c>
      <c r="N72" s="42">
        <f>_xlfn.XLOOKUP(A72, Operations!A:A, Operations!C:C)</f>
        <v>0.05</v>
      </c>
      <c r="O72" s="39" t="str">
        <f t="shared" si="4"/>
        <v>Low Efficiency</v>
      </c>
      <c r="P72" s="41">
        <f t="shared" si="5"/>
        <v>2530</v>
      </c>
      <c r="Q72" s="39">
        <f t="shared" si="6"/>
        <v>2530</v>
      </c>
      <c r="R72" s="41">
        <f>P72-(F72-J72)-(Finance!B72+Finance!C72+Finance!D72)</f>
        <v>2528</v>
      </c>
      <c r="S72" s="39" t="str" cm="1">
        <f t="array" ref="S72">_xlfn.IFS(Q72&gt;50000, "VIP", Q72&gt;=20000, "Regular", Q72&lt;20000, "Low Value")</f>
        <v>Low Value</v>
      </c>
      <c r="T72" s="43"/>
      <c r="U72" s="39"/>
      <c r="V72" s="41"/>
      <c r="W72" s="39"/>
      <c r="X72" s="41" t="str" cm="1">
        <f t="array" ref="X72">_xlfn.TEXTJOIN(", ", TRUE, _xlfn.UNIQUE(_xlfn._xlws.FILTER(Sales_All!$E$2:$E$91, Sales_All!$D$2:$D$91 = D72, "")))</f>
        <v>Tablet, Laptop, Headphones</v>
      </c>
    </row>
    <row r="73" spans="1:24">
      <c r="A73" s="44" t="s">
        <v>95</v>
      </c>
      <c r="B73" s="40">
        <v>45868.096215277779</v>
      </c>
      <c r="C73" s="44" t="s">
        <v>38</v>
      </c>
      <c r="D73" s="41">
        <v>1011</v>
      </c>
      <c r="E73" s="44" t="s">
        <v>41</v>
      </c>
      <c r="F73" s="41">
        <v>3</v>
      </c>
      <c r="G73" s="44">
        <v>1634</v>
      </c>
      <c r="H73" s="41"/>
      <c r="I73" s="44"/>
      <c r="J73" s="41"/>
      <c r="K73" s="44"/>
      <c r="L73" s="41"/>
      <c r="M73" s="44">
        <f>_xlfn.XLOOKUP(A73, Operations!A:A, Operations!B:B)</f>
        <v>7</v>
      </c>
      <c r="N73" s="42">
        <f>_xlfn.XLOOKUP(A73, Operations!A:A, Operations!C:C)</f>
        <v>0.09</v>
      </c>
      <c r="O73" s="44" t="str">
        <f t="shared" si="4"/>
        <v>Low Efficiency</v>
      </c>
      <c r="P73" s="41">
        <f t="shared" si="5"/>
        <v>4902</v>
      </c>
      <c r="Q73" s="44">
        <f t="shared" si="6"/>
        <v>4902</v>
      </c>
      <c r="R73" s="41">
        <f>P73-(F73-J73)-(Finance!B73+Finance!C73+Finance!D73)</f>
        <v>4899</v>
      </c>
      <c r="S73" s="44" t="str" cm="1">
        <f t="array" ref="S73">_xlfn.IFS(Q73&gt;50000, "VIP", Q73&gt;=20000, "Regular", Q73&lt;20000, "Low Value")</f>
        <v>Low Value</v>
      </c>
      <c r="T73" s="43"/>
      <c r="U73" s="44"/>
      <c r="V73" s="41"/>
      <c r="W73" s="44"/>
      <c r="X73" s="41" t="str" cm="1">
        <f t="array" ref="X73">_xlfn.TEXTJOIN(", ", TRUE, _xlfn.UNIQUE(_xlfn._xlws.FILTER(Sales_All!$E$2:$E$91, Sales_All!$D$2:$D$91 = D73, "")))</f>
        <v>Printer, Headphones, Tablet</v>
      </c>
    </row>
    <row r="74" spans="1:24">
      <c r="A74" s="39" t="s">
        <v>94</v>
      </c>
      <c r="B74" s="40">
        <v>45916.957511574074</v>
      </c>
      <c r="C74" s="39" t="s">
        <v>39</v>
      </c>
      <c r="D74" s="41">
        <v>1012</v>
      </c>
      <c r="E74" s="39" t="s">
        <v>46</v>
      </c>
      <c r="F74" s="41">
        <v>3</v>
      </c>
      <c r="G74" s="39">
        <v>144</v>
      </c>
      <c r="H74" s="41"/>
      <c r="I74" s="39"/>
      <c r="J74" s="41"/>
      <c r="K74" s="39"/>
      <c r="L74" s="41"/>
      <c r="M74" s="39">
        <f>_xlfn.XLOOKUP(A74, Operations!A:A, Operations!B:B)</f>
        <v>7</v>
      </c>
      <c r="N74" s="42">
        <f>_xlfn.XLOOKUP(A74, Operations!A:A, Operations!C:C)</f>
        <v>7.0000000000000007E-2</v>
      </c>
      <c r="O74" s="39" t="str">
        <f t="shared" si="4"/>
        <v>Low Efficiency</v>
      </c>
      <c r="P74" s="41">
        <f t="shared" si="5"/>
        <v>432</v>
      </c>
      <c r="Q74" s="39">
        <f t="shared" si="6"/>
        <v>432</v>
      </c>
      <c r="R74" s="41">
        <f>P74-(F74-J74)-(Finance!B74+Finance!C74+Finance!D74)</f>
        <v>429</v>
      </c>
      <c r="S74" s="39" t="str" cm="1">
        <f t="array" ref="S74">_xlfn.IFS(Q74&gt;50000, "VIP", Q74&gt;=20000, "Regular", Q74&lt;20000, "Low Value")</f>
        <v>Low Value</v>
      </c>
      <c r="T74" s="43"/>
      <c r="U74" s="39"/>
      <c r="V74" s="41"/>
      <c r="W74" s="39"/>
      <c r="X74" s="41" t="str" cm="1">
        <f t="array" ref="X74">_xlfn.TEXTJOIN(", ", TRUE, _xlfn.UNIQUE(_xlfn._xlws.FILTER(Sales_All!$E$2:$E$91, Sales_All!$D$2:$D$91 = D74, "")))</f>
        <v>Laptop, Headphones, Printer, Monitor</v>
      </c>
    </row>
    <row r="75" spans="1:24">
      <c r="A75" s="45" t="s">
        <v>93</v>
      </c>
      <c r="B75" s="40">
        <v>45849.520115740743</v>
      </c>
      <c r="C75" s="45" t="s">
        <v>38</v>
      </c>
      <c r="D75" s="41">
        <v>1005</v>
      </c>
      <c r="E75" s="45" t="s">
        <v>41</v>
      </c>
      <c r="F75" s="41">
        <v>8</v>
      </c>
      <c r="G75" s="45">
        <v>1707</v>
      </c>
      <c r="H75" s="41"/>
      <c r="I75" s="45"/>
      <c r="J75" s="41"/>
      <c r="K75" s="45"/>
      <c r="L75" s="41"/>
      <c r="M75" s="45">
        <f>_xlfn.XLOOKUP(A75, Operations!A:A, Operations!B:B)</f>
        <v>6</v>
      </c>
      <c r="N75" s="42">
        <f>_xlfn.XLOOKUP(A75, Operations!A:A, Operations!C:C)</f>
        <v>0.08</v>
      </c>
      <c r="O75" s="45" t="str">
        <f t="shared" si="4"/>
        <v>Low Efficiency</v>
      </c>
      <c r="P75" s="41">
        <f t="shared" si="5"/>
        <v>13656</v>
      </c>
      <c r="Q75" s="45">
        <f t="shared" si="6"/>
        <v>13656</v>
      </c>
      <c r="R75" s="41">
        <f>P75-(F75-J75)-(Finance!B75+Finance!C75+Finance!D75)</f>
        <v>13648</v>
      </c>
      <c r="S75" s="45" t="str" cm="1">
        <f t="array" ref="S75">_xlfn.IFS(Q75&gt;50000, "VIP", Q75&gt;=20000, "Regular", Q75&lt;20000, "Low Value")</f>
        <v>Low Value</v>
      </c>
      <c r="T75" s="43"/>
      <c r="U75" s="45"/>
      <c r="V75" s="41"/>
      <c r="W75" s="45"/>
      <c r="X75" s="41" t="str" cm="1">
        <f t="array" ref="X75">_xlfn.TEXTJOIN(", ", TRUE, _xlfn.UNIQUE(_xlfn._xlws.FILTER(Sales_All!$E$2:$E$91, Sales_All!$D$2:$D$91 = D75, "")))</f>
        <v>Monitor, Printer, Tablet</v>
      </c>
    </row>
    <row r="76" spans="1:24">
      <c r="A76" s="39" t="s">
        <v>92</v>
      </c>
      <c r="B76" s="40">
        <v>45873.09915509259</v>
      </c>
      <c r="C76" s="39" t="s">
        <v>40</v>
      </c>
      <c r="D76" s="41">
        <v>1004</v>
      </c>
      <c r="E76" s="39" t="s">
        <v>45</v>
      </c>
      <c r="F76" s="41">
        <v>4</v>
      </c>
      <c r="G76" s="39">
        <v>960</v>
      </c>
      <c r="H76" s="41"/>
      <c r="I76" s="39"/>
      <c r="J76" s="41"/>
      <c r="K76" s="39"/>
      <c r="L76" s="41"/>
      <c r="M76" s="39">
        <f>_xlfn.XLOOKUP(A76, Operations!A:A, Operations!B:B)</f>
        <v>7</v>
      </c>
      <c r="N76" s="42">
        <f>_xlfn.XLOOKUP(A76, Operations!A:A, Operations!C:C)</f>
        <v>0.04</v>
      </c>
      <c r="O76" s="39" t="str">
        <f t="shared" si="4"/>
        <v>Low Efficiency</v>
      </c>
      <c r="P76" s="41">
        <f t="shared" si="5"/>
        <v>3840</v>
      </c>
      <c r="Q76" s="39">
        <f t="shared" si="6"/>
        <v>3840</v>
      </c>
      <c r="R76" s="41">
        <f>P76-(F76-J76)-(Finance!B76+Finance!C76+Finance!D76)</f>
        <v>3836</v>
      </c>
      <c r="S76" s="39" t="str" cm="1">
        <f t="array" ref="S76">_xlfn.IFS(Q76&gt;50000, "VIP", Q76&gt;=20000, "Regular", Q76&lt;20000, "Low Value")</f>
        <v>Low Value</v>
      </c>
      <c r="T76" s="43"/>
      <c r="U76" s="39"/>
      <c r="V76" s="41"/>
      <c r="W76" s="39"/>
      <c r="X76" s="41" t="str" cm="1">
        <f t="array" ref="X76">_xlfn.TEXTJOIN(", ", TRUE, _xlfn.UNIQUE(_xlfn._xlws.FILTER(Sales_All!$E$2:$E$91, Sales_All!$D$2:$D$91 = D76, "")))</f>
        <v>Headphones, Printer, Laptop</v>
      </c>
    </row>
    <row r="77" spans="1:24">
      <c r="A77" s="44" t="s">
        <v>91</v>
      </c>
      <c r="B77" s="40">
        <v>45926.222662037027</v>
      </c>
      <c r="C77" s="44" t="s">
        <v>38</v>
      </c>
      <c r="D77" s="41">
        <v>1017</v>
      </c>
      <c r="E77" s="44" t="s">
        <v>45</v>
      </c>
      <c r="F77" s="41">
        <v>5</v>
      </c>
      <c r="G77" s="44">
        <v>1416</v>
      </c>
      <c r="H77" s="41"/>
      <c r="I77" s="44"/>
      <c r="J77" s="41"/>
      <c r="K77" s="44"/>
      <c r="L77" s="41"/>
      <c r="M77" s="44">
        <f>_xlfn.XLOOKUP(A77, Operations!A:A, Operations!B:B)</f>
        <v>5</v>
      </c>
      <c r="N77" s="42">
        <f>_xlfn.XLOOKUP(A77, Operations!A:A, Operations!C:C)</f>
        <v>0.03</v>
      </c>
      <c r="O77" s="44" t="str">
        <f t="shared" si="4"/>
        <v>High Efficiency</v>
      </c>
      <c r="P77" s="41">
        <f t="shared" si="5"/>
        <v>7080</v>
      </c>
      <c r="Q77" s="44">
        <f t="shared" si="6"/>
        <v>7080</v>
      </c>
      <c r="R77" s="41">
        <f>P77-(F77-J77)-(Finance!B77+Finance!C77+Finance!D77)</f>
        <v>7075</v>
      </c>
      <c r="S77" s="44" t="str" cm="1">
        <f t="array" ref="S77">_xlfn.IFS(Q77&gt;50000, "VIP", Q77&gt;=20000, "Regular", Q77&lt;20000, "Low Value")</f>
        <v>Low Value</v>
      </c>
      <c r="T77" s="43"/>
      <c r="U77" s="44"/>
      <c r="V77" s="41"/>
      <c r="W77" s="44"/>
      <c r="X77" s="41" t="str" cm="1">
        <f t="array" ref="X77">_xlfn.TEXTJOIN(", ", TRUE, _xlfn.UNIQUE(_xlfn._xlws.FILTER(Sales_All!$E$2:$E$91, Sales_All!$D$2:$D$91 = D77, "")))</f>
        <v>Tablet, Laptop, Printer, Smartphone</v>
      </c>
    </row>
    <row r="78" spans="1:24">
      <c r="A78" s="39" t="s">
        <v>90</v>
      </c>
      <c r="B78" s="40">
        <v>45906.44259259259</v>
      </c>
      <c r="C78" s="39" t="s">
        <v>37</v>
      </c>
      <c r="D78" s="41">
        <v>1017</v>
      </c>
      <c r="E78" s="39" t="s">
        <v>46</v>
      </c>
      <c r="F78" s="41">
        <v>2</v>
      </c>
      <c r="G78" s="39">
        <v>300</v>
      </c>
      <c r="H78" s="41"/>
      <c r="I78" s="39"/>
      <c r="J78" s="41"/>
      <c r="K78" s="39"/>
      <c r="L78" s="41"/>
      <c r="M78" s="39">
        <f>_xlfn.XLOOKUP(A78, Operations!A:A, Operations!B:B)</f>
        <v>8</v>
      </c>
      <c r="N78" s="42">
        <f>_xlfn.XLOOKUP(A78, Operations!A:A, Operations!C:C)</f>
        <v>7.0000000000000007E-2</v>
      </c>
      <c r="O78" s="39" t="str">
        <f t="shared" si="4"/>
        <v>Low Efficiency</v>
      </c>
      <c r="P78" s="41">
        <f t="shared" si="5"/>
        <v>600</v>
      </c>
      <c r="Q78" s="39">
        <f t="shared" si="6"/>
        <v>600</v>
      </c>
      <c r="R78" s="41">
        <f>P78-(F78-J78)-(Finance!B78+Finance!C78+Finance!D78)</f>
        <v>598</v>
      </c>
      <c r="S78" s="39" t="str" cm="1">
        <f t="array" ref="S78">_xlfn.IFS(Q78&gt;50000, "VIP", Q78&gt;=20000, "Regular", Q78&lt;20000, "Low Value")</f>
        <v>Low Value</v>
      </c>
      <c r="T78" s="43"/>
      <c r="U78" s="39"/>
      <c r="V78" s="41"/>
      <c r="W78" s="39"/>
      <c r="X78" s="41" t="str" cm="1">
        <f t="array" ref="X78">_xlfn.TEXTJOIN(", ", TRUE, _xlfn.UNIQUE(_xlfn._xlws.FILTER(Sales_All!$E$2:$E$91, Sales_All!$D$2:$D$91 = D78, "")))</f>
        <v>Tablet, Laptop, Printer, Smartphone</v>
      </c>
    </row>
    <row r="79" spans="1:24">
      <c r="A79" s="44" t="s">
        <v>89</v>
      </c>
      <c r="B79" s="40">
        <v>45911.789861111109</v>
      </c>
      <c r="C79" s="44" t="s">
        <v>38</v>
      </c>
      <c r="D79" s="41">
        <v>1001</v>
      </c>
      <c r="E79" s="44" t="s">
        <v>45</v>
      </c>
      <c r="F79" s="41">
        <v>7</v>
      </c>
      <c r="G79" s="44">
        <v>608</v>
      </c>
      <c r="H79" s="41"/>
      <c r="I79" s="44"/>
      <c r="J79" s="41"/>
      <c r="K79" s="44"/>
      <c r="L79" s="41"/>
      <c r="M79" s="44">
        <f>_xlfn.XLOOKUP(A79, Operations!A:A, Operations!B:B)</f>
        <v>4</v>
      </c>
      <c r="N79" s="42">
        <f>_xlfn.XLOOKUP(A79, Operations!A:A, Operations!C:C)</f>
        <v>7.0000000000000007E-2</v>
      </c>
      <c r="O79" s="44" t="str">
        <f t="shared" si="4"/>
        <v>Low Efficiency</v>
      </c>
      <c r="P79" s="41">
        <f t="shared" si="5"/>
        <v>4256</v>
      </c>
      <c r="Q79" s="44">
        <f t="shared" si="6"/>
        <v>4256</v>
      </c>
      <c r="R79" s="41">
        <f>P79-(F79-J79)-(Finance!B79+Finance!C79+Finance!D79)</f>
        <v>4249</v>
      </c>
      <c r="S79" s="44" t="str" cm="1">
        <f t="array" ref="S79">_xlfn.IFS(Q79&gt;50000, "VIP", Q79&gt;=20000, "Regular", Q79&lt;20000, "Low Value")</f>
        <v>Low Value</v>
      </c>
      <c r="T79" s="43"/>
      <c r="U79" s="44"/>
      <c r="V79" s="41"/>
      <c r="W79" s="44"/>
      <c r="X79" s="41" t="str" cm="1">
        <f t="array" ref="X79">_xlfn.TEXTJOIN(", ", TRUE, _xlfn.UNIQUE(_xlfn._xlws.FILTER(Sales_All!$E$2:$E$91, Sales_All!$D$2:$D$91 = D79, "")))</f>
        <v>Printer, Monitor, Smartphone, Headphones, Laptop</v>
      </c>
    </row>
    <row r="80" spans="1:24">
      <c r="A80" s="39" t="s">
        <v>88</v>
      </c>
      <c r="B80" s="40">
        <v>45867.799027777779</v>
      </c>
      <c r="C80" s="39" t="s">
        <v>38</v>
      </c>
      <c r="D80" s="41">
        <v>1017</v>
      </c>
      <c r="E80" s="39" t="s">
        <v>45</v>
      </c>
      <c r="F80" s="41">
        <v>8</v>
      </c>
      <c r="G80" s="39">
        <v>1150</v>
      </c>
      <c r="H80" s="41"/>
      <c r="I80" s="39"/>
      <c r="J80" s="41"/>
      <c r="K80" s="39"/>
      <c r="L80" s="41"/>
      <c r="M80" s="39">
        <f>_xlfn.XLOOKUP(A80, Operations!A:A, Operations!B:B)</f>
        <v>3</v>
      </c>
      <c r="N80" s="42">
        <f>_xlfn.XLOOKUP(A80, Operations!A:A, Operations!C:C)</f>
        <v>0.01</v>
      </c>
      <c r="O80" s="39" t="str">
        <f t="shared" si="4"/>
        <v>High Efficiency</v>
      </c>
      <c r="P80" s="41">
        <f t="shared" si="5"/>
        <v>9200</v>
      </c>
      <c r="Q80" s="39">
        <f t="shared" si="6"/>
        <v>9200</v>
      </c>
      <c r="R80" s="41">
        <f>P80-(F80-J80)-(Finance!B80+Finance!C80+Finance!D80)</f>
        <v>9192</v>
      </c>
      <c r="S80" s="39" t="str" cm="1">
        <f t="array" ref="S80">_xlfn.IFS(Q80&gt;50000, "VIP", Q80&gt;=20000, "Regular", Q80&lt;20000, "Low Value")</f>
        <v>Low Value</v>
      </c>
      <c r="T80" s="43"/>
      <c r="U80" s="39"/>
      <c r="V80" s="41"/>
      <c r="W80" s="39"/>
      <c r="X80" s="41" t="str" cm="1">
        <f t="array" ref="X80">_xlfn.TEXTJOIN(", ", TRUE, _xlfn.UNIQUE(_xlfn._xlws.FILTER(Sales_All!$E$2:$E$91, Sales_All!$D$2:$D$91 = D80, "")))</f>
        <v>Tablet, Laptop, Printer, Smartphone</v>
      </c>
    </row>
    <row r="81" spans="1:24">
      <c r="A81" s="44" t="s">
        <v>87</v>
      </c>
      <c r="B81" s="40">
        <v>45880.701817129629</v>
      </c>
      <c r="C81" s="44" t="s">
        <v>40</v>
      </c>
      <c r="D81" s="41">
        <v>1019</v>
      </c>
      <c r="E81" s="44" t="s">
        <v>41</v>
      </c>
      <c r="F81" s="41">
        <v>2</v>
      </c>
      <c r="G81" s="44">
        <v>508</v>
      </c>
      <c r="H81" s="41"/>
      <c r="I81" s="44"/>
      <c r="J81" s="41"/>
      <c r="K81" s="44"/>
      <c r="L81" s="41"/>
      <c r="M81" s="44">
        <f>_xlfn.XLOOKUP(A81, Operations!A:A, Operations!B:B)</f>
        <v>4</v>
      </c>
      <c r="N81" s="42">
        <f>_xlfn.XLOOKUP(A81, Operations!A:A, Operations!C:C)</f>
        <v>0.01</v>
      </c>
      <c r="O81" s="44" t="str">
        <f t="shared" si="4"/>
        <v>High Efficiency</v>
      </c>
      <c r="P81" s="41">
        <f t="shared" si="5"/>
        <v>1016</v>
      </c>
      <c r="Q81" s="44">
        <f t="shared" si="6"/>
        <v>1016</v>
      </c>
      <c r="R81" s="41">
        <f>P81-(F81-J81)-(Finance!B81+Finance!C81+Finance!D81)</f>
        <v>1014</v>
      </c>
      <c r="S81" s="44" t="str" cm="1">
        <f t="array" ref="S81">_xlfn.IFS(Q81&gt;50000, "VIP", Q81&gt;=20000, "Regular", Q81&lt;20000, "Low Value")</f>
        <v>Low Value</v>
      </c>
      <c r="T81" s="43"/>
      <c r="U81" s="44"/>
      <c r="V81" s="41"/>
      <c r="W81" s="44"/>
      <c r="X81" s="41" t="str" cm="1">
        <f t="array" ref="X81">_xlfn.TEXTJOIN(", ", TRUE, _xlfn.UNIQUE(_xlfn._xlws.FILTER(Sales_All!$E$2:$E$91, Sales_All!$D$2:$D$91 = D81, "")))</f>
        <v>Laptop, Headphones, Tablet, Monitor</v>
      </c>
    </row>
    <row r="82" spans="1:24">
      <c r="A82" s="39" t="s">
        <v>86</v>
      </c>
      <c r="B82" s="40">
        <v>45926.246377314812</v>
      </c>
      <c r="C82" s="39" t="s">
        <v>37</v>
      </c>
      <c r="D82" s="41">
        <v>1019</v>
      </c>
      <c r="E82" s="39" t="s">
        <v>41</v>
      </c>
      <c r="F82" s="41">
        <v>1</v>
      </c>
      <c r="G82" s="39">
        <v>1272</v>
      </c>
      <c r="H82" s="41"/>
      <c r="I82" s="39"/>
      <c r="J82" s="41"/>
      <c r="K82" s="39"/>
      <c r="L82" s="41"/>
      <c r="M82" s="39">
        <f>_xlfn.XLOOKUP(A82, Operations!A:A, Operations!B:B)</f>
        <v>9</v>
      </c>
      <c r="N82" s="42">
        <f>_xlfn.XLOOKUP(A82, Operations!A:A, Operations!C:C)</f>
        <v>0.05</v>
      </c>
      <c r="O82" s="39" t="str">
        <f t="shared" si="4"/>
        <v>Low Efficiency</v>
      </c>
      <c r="P82" s="41">
        <f t="shared" si="5"/>
        <v>1272</v>
      </c>
      <c r="Q82" s="39">
        <f t="shared" si="6"/>
        <v>1272</v>
      </c>
      <c r="R82" s="41">
        <f>P82-(F82-J82)-(Finance!B82+Finance!C82+Finance!D82)</f>
        <v>1271</v>
      </c>
      <c r="S82" s="39" t="str" cm="1">
        <f t="array" ref="S82">_xlfn.IFS(Q82&gt;50000, "VIP", Q82&gt;=20000, "Regular", Q82&lt;20000, "Low Value")</f>
        <v>Low Value</v>
      </c>
      <c r="T82" s="43"/>
      <c r="U82" s="39"/>
      <c r="V82" s="41"/>
      <c r="W82" s="39"/>
      <c r="X82" s="41" t="str" cm="1">
        <f t="array" ref="X82">_xlfn.TEXTJOIN(", ", TRUE, _xlfn.UNIQUE(_xlfn._xlws.FILTER(Sales_All!$E$2:$E$91, Sales_All!$D$2:$D$91 = D82, "")))</f>
        <v>Laptop, Headphones, Tablet, Monitor</v>
      </c>
    </row>
    <row r="83" spans="1:24">
      <c r="A83" s="44" t="s">
        <v>85</v>
      </c>
      <c r="B83" s="40">
        <v>45841.351273148153</v>
      </c>
      <c r="C83" s="44" t="s">
        <v>40</v>
      </c>
      <c r="D83" s="41">
        <v>1012</v>
      </c>
      <c r="E83" s="44" t="s">
        <v>43</v>
      </c>
      <c r="F83" s="41">
        <v>1</v>
      </c>
      <c r="G83" s="44">
        <v>1186</v>
      </c>
      <c r="H83" s="41"/>
      <c r="I83" s="44"/>
      <c r="J83" s="41"/>
      <c r="K83" s="44"/>
      <c r="L83" s="41"/>
      <c r="M83" s="44">
        <f>_xlfn.XLOOKUP(A83, Operations!A:A, Operations!B:B)</f>
        <v>8</v>
      </c>
      <c r="N83" s="42">
        <f>_xlfn.XLOOKUP(A83, Operations!A:A, Operations!C:C)</f>
        <v>0.02</v>
      </c>
      <c r="O83" s="44" t="str">
        <f t="shared" si="4"/>
        <v>Low Efficiency</v>
      </c>
      <c r="P83" s="41">
        <f t="shared" si="5"/>
        <v>1186</v>
      </c>
      <c r="Q83" s="44">
        <f t="shared" si="6"/>
        <v>1186</v>
      </c>
      <c r="R83" s="41">
        <f>P83-(F83-J83)-(Finance!B83+Finance!C83+Finance!D83)</f>
        <v>1185</v>
      </c>
      <c r="S83" s="44" t="str" cm="1">
        <f t="array" ref="S83">_xlfn.IFS(Q83&gt;50000, "VIP", Q83&gt;=20000, "Regular", Q83&lt;20000, "Low Value")</f>
        <v>Low Value</v>
      </c>
      <c r="T83" s="43"/>
      <c r="U83" s="44"/>
      <c r="V83" s="41"/>
      <c r="W83" s="44"/>
      <c r="X83" s="41" t="str" cm="1">
        <f t="array" ref="X83">_xlfn.TEXTJOIN(", ", TRUE, _xlfn.UNIQUE(_xlfn._xlws.FILTER(Sales_All!$E$2:$E$91, Sales_All!$D$2:$D$91 = D83, "")))</f>
        <v>Laptop, Headphones, Printer, Monitor</v>
      </c>
    </row>
    <row r="84" spans="1:24">
      <c r="A84" s="39" t="s">
        <v>84</v>
      </c>
      <c r="B84" s="40">
        <v>45874.122870370367</v>
      </c>
      <c r="C84" s="39" t="s">
        <v>39</v>
      </c>
      <c r="D84" s="41">
        <v>1001</v>
      </c>
      <c r="E84" s="39" t="s">
        <v>45</v>
      </c>
      <c r="F84" s="41">
        <v>6</v>
      </c>
      <c r="G84" s="39">
        <v>272</v>
      </c>
      <c r="H84" s="41"/>
      <c r="I84" s="39"/>
      <c r="J84" s="41"/>
      <c r="K84" s="39"/>
      <c r="L84" s="41"/>
      <c r="M84" s="39">
        <f>_xlfn.XLOOKUP(A84, Operations!A:A, Operations!B:B)</f>
        <v>2</v>
      </c>
      <c r="N84" s="42">
        <f>_xlfn.XLOOKUP(A84, Operations!A:A, Operations!C:C)</f>
        <v>0.1</v>
      </c>
      <c r="O84" s="39" t="str">
        <f t="shared" si="4"/>
        <v>Low Efficiency</v>
      </c>
      <c r="P84" s="41">
        <f t="shared" si="5"/>
        <v>1632</v>
      </c>
      <c r="Q84" s="39">
        <f t="shared" si="6"/>
        <v>1632</v>
      </c>
      <c r="R84" s="41">
        <f>P84-(F84-J84)-(Finance!B84+Finance!C84+Finance!D84)</f>
        <v>1626</v>
      </c>
      <c r="S84" s="39" t="str" cm="1">
        <f t="array" ref="S84">_xlfn.IFS(Q84&gt;50000, "VIP", Q84&gt;=20000, "Regular", Q84&lt;20000, "Low Value")</f>
        <v>Low Value</v>
      </c>
      <c r="T84" s="43"/>
      <c r="U84" s="39"/>
      <c r="V84" s="41"/>
      <c r="W84" s="39"/>
      <c r="X84" s="41" t="str" cm="1">
        <f t="array" ref="X84">_xlfn.TEXTJOIN(", ", TRUE, _xlfn.UNIQUE(_xlfn._xlws.FILTER(Sales_All!$E$2:$E$91, Sales_All!$D$2:$D$91 = D84, "")))</f>
        <v>Printer, Monitor, Smartphone, Headphones, Laptop</v>
      </c>
    </row>
    <row r="85" spans="1:24">
      <c r="A85" s="45" t="s">
        <v>83</v>
      </c>
      <c r="B85" s="40">
        <v>45875.450671296298</v>
      </c>
      <c r="C85" s="45" t="s">
        <v>37</v>
      </c>
      <c r="D85" s="41">
        <v>1014</v>
      </c>
      <c r="E85" s="45" t="s">
        <v>42</v>
      </c>
      <c r="F85" s="41">
        <v>9</v>
      </c>
      <c r="G85" s="45">
        <v>1794</v>
      </c>
      <c r="H85" s="41"/>
      <c r="I85" s="45"/>
      <c r="J85" s="41"/>
      <c r="K85" s="45"/>
      <c r="L85" s="41"/>
      <c r="M85" s="45">
        <f>_xlfn.XLOOKUP(A85, Operations!A:A, Operations!B:B)</f>
        <v>6</v>
      </c>
      <c r="N85" s="42">
        <f>_xlfn.XLOOKUP(A85, Operations!A:A, Operations!C:C)</f>
        <v>0.08</v>
      </c>
      <c r="O85" s="45" t="str">
        <f t="shared" si="4"/>
        <v>Low Efficiency</v>
      </c>
      <c r="P85" s="41">
        <f t="shared" si="5"/>
        <v>16146</v>
      </c>
      <c r="Q85" s="45">
        <f t="shared" si="6"/>
        <v>16146</v>
      </c>
      <c r="R85" s="41">
        <f>P85-(F85-J85)-(Finance!B85+Finance!C85+Finance!D85)</f>
        <v>16137</v>
      </c>
      <c r="S85" s="45" t="str" cm="1">
        <f t="array" ref="S85">_xlfn.IFS(Q85&gt;50000, "VIP", Q85&gt;=20000, "Regular", Q85&lt;20000, "Low Value")</f>
        <v>Low Value</v>
      </c>
      <c r="T85" s="43"/>
      <c r="U85" s="45"/>
      <c r="V85" s="41"/>
      <c r="W85" s="45"/>
      <c r="X85" s="41" t="str" cm="1">
        <f t="array" ref="X85">_xlfn.TEXTJOIN(", ", TRUE, _xlfn.UNIQUE(_xlfn._xlws.FILTER(Sales_All!$E$2:$E$91, Sales_All!$D$2:$D$91 = D85, "")))</f>
        <v>Tablet, Monitor, Headphones</v>
      </c>
    </row>
    <row r="86" spans="1:24">
      <c r="A86" s="39" t="s">
        <v>82</v>
      </c>
      <c r="B86" s="40">
        <v>45895.845381944448</v>
      </c>
      <c r="C86" s="39" t="s">
        <v>37</v>
      </c>
      <c r="D86" s="41">
        <v>1006</v>
      </c>
      <c r="E86" s="39" t="s">
        <v>43</v>
      </c>
      <c r="F86" s="41">
        <v>5</v>
      </c>
      <c r="G86" s="39">
        <v>757</v>
      </c>
      <c r="H86" s="41"/>
      <c r="I86" s="39"/>
      <c r="J86" s="41"/>
      <c r="K86" s="39"/>
      <c r="L86" s="41"/>
      <c r="M86" s="39">
        <f>_xlfn.XLOOKUP(A86, Operations!A:A, Operations!B:B)</f>
        <v>4</v>
      </c>
      <c r="N86" s="42">
        <f>_xlfn.XLOOKUP(A86, Operations!A:A, Operations!C:C)</f>
        <v>0.05</v>
      </c>
      <c r="O86" s="39" t="str">
        <f t="shared" si="4"/>
        <v>High Efficiency</v>
      </c>
      <c r="P86" s="41">
        <f t="shared" si="5"/>
        <v>3785</v>
      </c>
      <c r="Q86" s="39">
        <f t="shared" si="6"/>
        <v>3785</v>
      </c>
      <c r="R86" s="41">
        <f>P86-(F86-J86)-(Finance!B86+Finance!C86+Finance!D86)</f>
        <v>3780</v>
      </c>
      <c r="S86" s="39" t="str" cm="1">
        <f t="array" ref="S86">_xlfn.IFS(Q86&gt;50000, "VIP", Q86&gt;=20000, "Regular", Q86&lt;20000, "Low Value")</f>
        <v>Low Value</v>
      </c>
      <c r="T86" s="43"/>
      <c r="U86" s="39"/>
      <c r="V86" s="41"/>
      <c r="W86" s="39"/>
      <c r="X86" s="41" t="str" cm="1">
        <f t="array" ref="X86">_xlfn.TEXTJOIN(", ", TRUE, _xlfn.UNIQUE(_xlfn._xlws.FILTER(Sales_All!$E$2:$E$91, Sales_All!$D$2:$D$91 = D86, "")))</f>
        <v>Laptop, Headphones, Monitor</v>
      </c>
    </row>
    <row r="87" spans="1:24">
      <c r="A87" s="44" t="s">
        <v>81</v>
      </c>
      <c r="B87" s="40">
        <v>45858.359560185178</v>
      </c>
      <c r="C87" s="44" t="s">
        <v>38</v>
      </c>
      <c r="D87" s="41">
        <v>1017</v>
      </c>
      <c r="E87" s="44" t="s">
        <v>44</v>
      </c>
      <c r="F87" s="41">
        <v>9</v>
      </c>
      <c r="G87" s="44">
        <v>472</v>
      </c>
      <c r="H87" s="41"/>
      <c r="I87" s="44"/>
      <c r="J87" s="41"/>
      <c r="K87" s="44"/>
      <c r="L87" s="41"/>
      <c r="M87" s="44">
        <f>_xlfn.XLOOKUP(A87, Operations!A:A, Operations!B:B)</f>
        <v>1</v>
      </c>
      <c r="N87" s="42">
        <f>_xlfn.XLOOKUP(A87, Operations!A:A, Operations!C:C)</f>
        <v>0.02</v>
      </c>
      <c r="O87" s="44" t="str">
        <f t="shared" si="4"/>
        <v>High Efficiency</v>
      </c>
      <c r="P87" s="41">
        <f t="shared" si="5"/>
        <v>4248</v>
      </c>
      <c r="Q87" s="44">
        <f t="shared" si="6"/>
        <v>4248</v>
      </c>
      <c r="R87" s="41">
        <f>P87-(F87-J87)-(Finance!B87+Finance!C87+Finance!D87)</f>
        <v>4239</v>
      </c>
      <c r="S87" s="44" t="str" cm="1">
        <f t="array" ref="S87">_xlfn.IFS(Q87&gt;50000, "VIP", Q87&gt;=20000, "Regular", Q87&lt;20000, "Low Value")</f>
        <v>Low Value</v>
      </c>
      <c r="T87" s="43"/>
      <c r="U87" s="44"/>
      <c r="V87" s="41"/>
      <c r="W87" s="44"/>
      <c r="X87" s="41" t="str" cm="1">
        <f t="array" ref="X87">_xlfn.TEXTJOIN(", ", TRUE, _xlfn.UNIQUE(_xlfn._xlws.FILTER(Sales_All!$E$2:$E$91, Sales_All!$D$2:$D$91 = D87, "")))</f>
        <v>Tablet, Laptop, Printer, Smartphone</v>
      </c>
    </row>
    <row r="88" spans="1:24">
      <c r="A88" s="39" t="s">
        <v>80</v>
      </c>
      <c r="B88" s="40">
        <v>45862.545439814807</v>
      </c>
      <c r="C88" s="39" t="s">
        <v>39</v>
      </c>
      <c r="D88" s="41">
        <v>1002</v>
      </c>
      <c r="E88" s="39" t="s">
        <v>45</v>
      </c>
      <c r="F88" s="41">
        <v>9</v>
      </c>
      <c r="G88" s="39">
        <v>132</v>
      </c>
      <c r="H88" s="41"/>
      <c r="I88" s="39"/>
      <c r="J88" s="41"/>
      <c r="K88" s="39"/>
      <c r="L88" s="41"/>
      <c r="M88" s="39">
        <f>_xlfn.XLOOKUP(A88, Operations!A:A, Operations!B:B)</f>
        <v>7</v>
      </c>
      <c r="N88" s="42">
        <f>_xlfn.XLOOKUP(A88, Operations!A:A, Operations!C:C)</f>
        <v>0.01</v>
      </c>
      <c r="O88" s="39" t="str">
        <f t="shared" si="4"/>
        <v>Low Efficiency</v>
      </c>
      <c r="P88" s="41">
        <f t="shared" si="5"/>
        <v>1188</v>
      </c>
      <c r="Q88" s="39">
        <f t="shared" si="6"/>
        <v>1188</v>
      </c>
      <c r="R88" s="41">
        <f>P88-(F88-J88)-(Finance!B88+Finance!C88+Finance!D88)</f>
        <v>1179</v>
      </c>
      <c r="S88" s="39" t="str" cm="1">
        <f t="array" ref="S88">_xlfn.IFS(Q88&gt;50000, "VIP", Q88&gt;=20000, "Regular", Q88&lt;20000, "Low Value")</f>
        <v>Low Value</v>
      </c>
      <c r="T88" s="43"/>
      <c r="U88" s="39"/>
      <c r="V88" s="41"/>
      <c r="W88" s="39"/>
      <c r="X88" s="41" t="str" cm="1">
        <f t="array" ref="X88">_xlfn.TEXTJOIN(", ", TRUE, _xlfn.UNIQUE(_xlfn._xlws.FILTER(Sales_All!$E$2:$E$91, Sales_All!$D$2:$D$91 = D88, "")))</f>
        <v>Tablet, Laptop, Headphones</v>
      </c>
    </row>
    <row r="89" spans="1:24">
      <c r="A89" s="44" t="s">
        <v>79</v>
      </c>
      <c r="B89" s="40">
        <v>45861.291134259263</v>
      </c>
      <c r="C89" s="44" t="s">
        <v>40</v>
      </c>
      <c r="D89" s="41">
        <v>1018</v>
      </c>
      <c r="E89" s="44" t="s">
        <v>45</v>
      </c>
      <c r="F89" s="41">
        <v>4</v>
      </c>
      <c r="G89" s="44">
        <v>1817</v>
      </c>
      <c r="H89" s="41"/>
      <c r="I89" s="44"/>
      <c r="J89" s="41"/>
      <c r="K89" s="44"/>
      <c r="L89" s="41"/>
      <c r="M89" s="44">
        <f>_xlfn.XLOOKUP(A89, Operations!A:A, Operations!B:B)</f>
        <v>3</v>
      </c>
      <c r="N89" s="42">
        <f>_xlfn.XLOOKUP(A89, Operations!A:A, Operations!C:C)</f>
        <v>0.1</v>
      </c>
      <c r="O89" s="44" t="str">
        <f t="shared" si="4"/>
        <v>Low Efficiency</v>
      </c>
      <c r="P89" s="41">
        <f t="shared" si="5"/>
        <v>7268</v>
      </c>
      <c r="Q89" s="44">
        <f t="shared" si="6"/>
        <v>7268</v>
      </c>
      <c r="R89" s="41">
        <f>P89-(F89-J89)-(Finance!B89+Finance!C89+Finance!D89)</f>
        <v>7264</v>
      </c>
      <c r="S89" s="44" t="str" cm="1">
        <f t="array" ref="S89">_xlfn.IFS(Q89&gt;50000, "VIP", Q89&gt;=20000, "Regular", Q89&lt;20000, "Low Value")</f>
        <v>Low Value</v>
      </c>
      <c r="T89" s="43"/>
      <c r="U89" s="44"/>
      <c r="V89" s="41"/>
      <c r="W89" s="44"/>
      <c r="X89" s="41" t="str" cm="1">
        <f t="array" ref="X89">_xlfn.TEXTJOIN(", ", TRUE, _xlfn.UNIQUE(_xlfn._xlws.FILTER(Sales_All!$E$2:$E$91, Sales_All!$D$2:$D$91 = D89, "")))</f>
        <v>Tablet, Smartphone, Headphones, Monitor, Laptop</v>
      </c>
    </row>
    <row r="90" spans="1:24">
      <c r="A90" s="39" t="s">
        <v>78</v>
      </c>
      <c r="B90" s="40">
        <v>45889.657800925917</v>
      </c>
      <c r="C90" s="39" t="s">
        <v>40</v>
      </c>
      <c r="D90" s="41">
        <v>1019</v>
      </c>
      <c r="E90" s="39" t="s">
        <v>43</v>
      </c>
      <c r="F90" s="41">
        <v>5</v>
      </c>
      <c r="G90" s="39">
        <v>698</v>
      </c>
      <c r="H90" s="41"/>
      <c r="I90" s="39"/>
      <c r="J90" s="41"/>
      <c r="K90" s="39"/>
      <c r="L90" s="41"/>
      <c r="M90" s="39">
        <f>_xlfn.XLOOKUP(A90, Operations!A:A, Operations!B:B)</f>
        <v>4</v>
      </c>
      <c r="N90" s="42">
        <f>_xlfn.XLOOKUP(A90, Operations!A:A, Operations!C:C)</f>
        <v>7.0000000000000007E-2</v>
      </c>
      <c r="O90" s="39" t="str">
        <f t="shared" si="4"/>
        <v>Low Efficiency</v>
      </c>
      <c r="P90" s="41">
        <f t="shared" si="5"/>
        <v>3490</v>
      </c>
      <c r="Q90" s="39">
        <f t="shared" si="6"/>
        <v>3490</v>
      </c>
      <c r="R90" s="41">
        <f>P90-(F90-J90)-(Finance!B90+Finance!C90+Finance!D90)</f>
        <v>3485</v>
      </c>
      <c r="S90" s="39" t="str" cm="1">
        <f t="array" ref="S90">_xlfn.IFS(Q90&gt;50000, "VIP", Q90&gt;=20000, "Regular", Q90&lt;20000, "Low Value")</f>
        <v>Low Value</v>
      </c>
      <c r="T90" s="43"/>
      <c r="U90" s="39"/>
      <c r="V90" s="41"/>
      <c r="W90" s="39"/>
      <c r="X90" s="41" t="str" cm="1">
        <f t="array" ref="X90">_xlfn.TEXTJOIN(", ", TRUE, _xlfn.UNIQUE(_xlfn._xlws.FILTER(Sales_All!$E$2:$E$91, Sales_All!$D$2:$D$91 = D90, "")))</f>
        <v>Laptop, Headphones, Tablet, Monitor</v>
      </c>
    </row>
    <row r="91" spans="1:24">
      <c r="A91" s="44" t="s">
        <v>77</v>
      </c>
      <c r="B91" s="40">
        <v>45898.258506944447</v>
      </c>
      <c r="C91" s="44" t="s">
        <v>38</v>
      </c>
      <c r="D91" s="41">
        <v>1003</v>
      </c>
      <c r="E91" s="44" t="s">
        <v>43</v>
      </c>
      <c r="F91" s="41">
        <v>3</v>
      </c>
      <c r="G91" s="44">
        <v>651</v>
      </c>
      <c r="H91" s="41"/>
      <c r="I91" s="44"/>
      <c r="J91" s="41"/>
      <c r="K91" s="44"/>
      <c r="L91" s="41"/>
      <c r="M91" s="44">
        <f>_xlfn.XLOOKUP(A91, Operations!A:A, Operations!B:B)</f>
        <v>5</v>
      </c>
      <c r="N91" s="42">
        <f>_xlfn.XLOOKUP(A91, Operations!A:A, Operations!C:C)</f>
        <v>0.09</v>
      </c>
      <c r="O91" s="44" t="str">
        <f t="shared" si="4"/>
        <v>Low Efficiency</v>
      </c>
      <c r="P91" s="41">
        <f t="shared" si="5"/>
        <v>1953</v>
      </c>
      <c r="Q91" s="44">
        <f t="shared" si="6"/>
        <v>1953</v>
      </c>
      <c r="R91" s="41">
        <f>P91-(F91-J91)-(Finance!B91+Finance!C91+Finance!D91)</f>
        <v>1950</v>
      </c>
      <c r="S91" s="44" t="str" cm="1">
        <f t="array" ref="S91">_xlfn.IFS(Q91&gt;50000, "VIP", Q91&gt;=20000, "Regular", Q91&lt;20000, "Low Value")</f>
        <v>Low Value</v>
      </c>
      <c r="T91" s="43"/>
      <c r="U91" s="44"/>
      <c r="V91" s="41"/>
      <c r="W91" s="44"/>
      <c r="X91" s="41" t="str" cm="1">
        <f t="array" ref="X91">_xlfn.TEXTJOIN(", ", TRUE, _xlfn.UNIQUE(_xlfn._xlws.FILTER(Sales_All!$E$2:$E$91, Sales_All!$D$2:$D$91 = D91, "")))</f>
        <v>Printer, Monitor, Headphones</v>
      </c>
    </row>
    <row r="92" spans="1:24">
      <c r="A92"/>
      <c r="B92"/>
      <c r="C92"/>
      <c r="D92"/>
      <c r="E92"/>
      <c r="F92"/>
      <c r="G92"/>
      <c r="H92"/>
      <c r="I92"/>
      <c r="J92"/>
      <c r="K92"/>
      <c r="L92"/>
      <c r="M92"/>
      <c r="N92"/>
      <c r="O92"/>
      <c r="P92"/>
      <c r="Q92"/>
      <c r="S92"/>
      <c r="T92"/>
      <c r="U92"/>
      <c r="V92"/>
      <c r="W92"/>
      <c r="X92"/>
    </row>
    <row r="93" spans="1:24">
      <c r="A93"/>
      <c r="B93"/>
      <c r="C93"/>
      <c r="D93"/>
      <c r="E93"/>
      <c r="F93"/>
      <c r="G93"/>
      <c r="H93"/>
      <c r="I93"/>
      <c r="J93"/>
      <c r="K93" t="s">
        <v>194</v>
      </c>
      <c r="L93"/>
      <c r="M93"/>
      <c r="N93"/>
      <c r="O93"/>
      <c r="P93"/>
      <c r="Q93"/>
      <c r="S93"/>
      <c r="T93"/>
      <c r="U93"/>
      <c r="V93"/>
      <c r="W93"/>
      <c r="X93"/>
    </row>
    <row r="94" spans="1:24">
      <c r="A94"/>
      <c r="B94"/>
      <c r="C94"/>
      <c r="D94"/>
      <c r="E94"/>
      <c r="F94"/>
      <c r="G94"/>
      <c r="H94"/>
      <c r="I94"/>
      <c r="J94"/>
      <c r="K94">
        <f>COUNTIF(Sales_All!M2:M91, "&lt;=5") / COUNTA(Sales_All!M2:M91)</f>
        <v>0.58888888888888891</v>
      </c>
      <c r="L94"/>
      <c r="M94"/>
      <c r="N94"/>
      <c r="O94"/>
      <c r="P94"/>
      <c r="Q94"/>
      <c r="S94"/>
      <c r="T94"/>
      <c r="U94"/>
      <c r="V94"/>
      <c r="W94"/>
      <c r="X94"/>
    </row>
    <row r="95" spans="1:24">
      <c r="A95"/>
      <c r="B95"/>
      <c r="C95"/>
      <c r="D95"/>
      <c r="E95"/>
      <c r="F95"/>
      <c r="G95"/>
      <c r="H95"/>
      <c r="I95"/>
      <c r="J95"/>
      <c r="K95"/>
      <c r="L95"/>
      <c r="M95"/>
      <c r="N95"/>
      <c r="O95"/>
      <c r="P95"/>
      <c r="Q95"/>
      <c r="S95"/>
      <c r="T95"/>
      <c r="U95"/>
      <c r="V95"/>
      <c r="W95"/>
      <c r="X95"/>
    </row>
    <row r="96" spans="1:24">
      <c r="A96"/>
      <c r="B96"/>
      <c r="C96"/>
      <c r="D96"/>
      <c r="E96"/>
      <c r="F96"/>
      <c r="G96"/>
      <c r="H96"/>
      <c r="I96"/>
      <c r="J96"/>
      <c r="K96"/>
      <c r="L96"/>
      <c r="M96"/>
      <c r="N96"/>
      <c r="O96"/>
      <c r="P96"/>
      <c r="Q96"/>
      <c r="S96"/>
      <c r="T96"/>
      <c r="U96"/>
      <c r="V96"/>
      <c r="W96"/>
      <c r="X96"/>
    </row>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row r="2249" customFormat="1"/>
    <row r="2250" customFormat="1"/>
    <row r="2251" customFormat="1"/>
    <row r="2252" customFormat="1"/>
    <row r="2253" customFormat="1"/>
    <row r="2254" customFormat="1"/>
    <row r="2255" customFormat="1"/>
    <row r="2256" customFormat="1"/>
    <row r="2257" customFormat="1"/>
    <row r="2258" customFormat="1"/>
    <row r="2259" customFormat="1"/>
    <row r="2260" customFormat="1"/>
    <row r="2261" customFormat="1"/>
    <row r="2262" customFormat="1"/>
    <row r="2263" customFormat="1"/>
    <row r="2264" customFormat="1"/>
    <row r="2265" customFormat="1"/>
    <row r="2266" customFormat="1"/>
    <row r="2267" customFormat="1"/>
    <row r="2268" customFormat="1"/>
    <row r="2269" customFormat="1"/>
    <row r="2270" customFormat="1"/>
    <row r="2271" customFormat="1"/>
    <row r="2272" customFormat="1"/>
    <row r="2273" customFormat="1"/>
    <row r="2274" customFormat="1"/>
    <row r="2275" customFormat="1"/>
    <row r="2276" customFormat="1"/>
    <row r="2277" customFormat="1"/>
    <row r="2278" customFormat="1"/>
    <row r="2279" customFormat="1"/>
    <row r="2280" customFormat="1"/>
    <row r="2281" customFormat="1"/>
    <row r="2282" customFormat="1"/>
    <row r="2283" customFormat="1"/>
    <row r="2284" customFormat="1"/>
    <row r="2285" customFormat="1"/>
    <row r="2286" customFormat="1"/>
    <row r="2287" customFormat="1"/>
    <row r="2288" customFormat="1"/>
    <row r="2289" customFormat="1"/>
    <row r="2290" customFormat="1"/>
    <row r="2291" customFormat="1"/>
    <row r="2292" customFormat="1"/>
    <row r="2293" customFormat="1"/>
    <row r="2294" customFormat="1"/>
    <row r="2295" customFormat="1"/>
    <row r="2296" customFormat="1"/>
    <row r="2297" customFormat="1"/>
    <row r="2298" customFormat="1"/>
    <row r="2299" customFormat="1"/>
    <row r="2300" customFormat="1"/>
    <row r="2301" customFormat="1"/>
    <row r="2302" customFormat="1"/>
    <row r="2303" customFormat="1"/>
    <row r="2304" customFormat="1"/>
    <row r="2305" customFormat="1"/>
    <row r="2306" customFormat="1"/>
    <row r="2307" customFormat="1"/>
    <row r="2308" customFormat="1"/>
    <row r="2309" customFormat="1"/>
    <row r="2310" customFormat="1"/>
    <row r="2311" customFormat="1"/>
    <row r="2312" customFormat="1"/>
    <row r="2313" customFormat="1"/>
    <row r="2314" customFormat="1"/>
    <row r="2315" customFormat="1"/>
    <row r="2316" customFormat="1"/>
    <row r="2317" customFormat="1"/>
    <row r="2318" customFormat="1"/>
    <row r="2319" customFormat="1"/>
    <row r="2320" customFormat="1"/>
    <row r="2321" customFormat="1"/>
    <row r="2322" customFormat="1"/>
    <row r="2323" customFormat="1"/>
    <row r="2324" customFormat="1"/>
    <row r="2325" customFormat="1"/>
    <row r="2326" customFormat="1"/>
    <row r="2327" customFormat="1"/>
    <row r="2328" customFormat="1"/>
    <row r="2329" customFormat="1"/>
    <row r="2330" customFormat="1"/>
    <row r="2331" customFormat="1"/>
    <row r="2332" customFormat="1"/>
    <row r="2333" customFormat="1"/>
    <row r="2334" customFormat="1"/>
    <row r="2335" customFormat="1"/>
    <row r="2336" customFormat="1"/>
    <row r="2337" customFormat="1"/>
    <row r="2338" customFormat="1"/>
    <row r="2339" customFormat="1"/>
    <row r="2340" customFormat="1"/>
    <row r="2341" customFormat="1"/>
    <row r="2342" customFormat="1"/>
    <row r="2343" customFormat="1"/>
    <row r="2344" customFormat="1"/>
    <row r="2345" customFormat="1"/>
    <row r="2346" customFormat="1"/>
    <row r="2347" customFormat="1"/>
    <row r="2348" customFormat="1"/>
    <row r="2349" customFormat="1"/>
    <row r="2350" customFormat="1"/>
    <row r="2351" customFormat="1"/>
    <row r="2352" customFormat="1"/>
    <row r="2353" customFormat="1"/>
    <row r="2354" customFormat="1"/>
    <row r="2355" customFormat="1"/>
    <row r="2356" customFormat="1"/>
    <row r="2357" customFormat="1"/>
    <row r="2358" customFormat="1"/>
    <row r="2359" customFormat="1"/>
    <row r="2360" customFormat="1"/>
    <row r="2361" customFormat="1"/>
    <row r="2362" customFormat="1"/>
    <row r="2363" customFormat="1"/>
    <row r="2364" customFormat="1"/>
    <row r="2365" customFormat="1"/>
    <row r="2366" customFormat="1"/>
    <row r="2367" customFormat="1"/>
    <row r="2368" customFormat="1"/>
    <row r="2369" customFormat="1"/>
    <row r="2370" customFormat="1"/>
    <row r="2371" customFormat="1"/>
    <row r="2372" customFormat="1"/>
    <row r="2373" customFormat="1"/>
    <row r="2374" customFormat="1"/>
    <row r="2375" customFormat="1"/>
    <row r="2376" customFormat="1"/>
    <row r="2377" customFormat="1"/>
    <row r="2378" customFormat="1"/>
    <row r="2379" customFormat="1"/>
    <row r="2380" customFormat="1"/>
    <row r="2381" customFormat="1"/>
    <row r="2382" customFormat="1"/>
    <row r="2383" customFormat="1"/>
    <row r="2384" customFormat="1"/>
    <row r="2385" customFormat="1"/>
    <row r="2386" customFormat="1"/>
    <row r="2387" customFormat="1"/>
    <row r="2388" customFormat="1"/>
    <row r="2389" customFormat="1"/>
    <row r="2390" customFormat="1"/>
    <row r="2391" customFormat="1"/>
    <row r="2392" customFormat="1"/>
    <row r="2393" customFormat="1"/>
    <row r="2394" customFormat="1"/>
    <row r="2395" customFormat="1"/>
    <row r="2396" customFormat="1"/>
    <row r="2397" customFormat="1"/>
    <row r="2398" customFormat="1"/>
    <row r="2399" customFormat="1"/>
    <row r="2400" customFormat="1"/>
    <row r="2401" customFormat="1"/>
    <row r="2402" customFormat="1"/>
    <row r="2403" customFormat="1"/>
    <row r="2404" customFormat="1"/>
    <row r="2405" customFormat="1"/>
    <row r="2406" customFormat="1"/>
    <row r="2407" customFormat="1"/>
    <row r="2408" customFormat="1"/>
    <row r="2409" customFormat="1"/>
    <row r="2410" customFormat="1"/>
    <row r="2411" customFormat="1"/>
    <row r="2412" customFormat="1"/>
    <row r="2413" customFormat="1"/>
    <row r="2414" customFormat="1"/>
    <row r="2415" customFormat="1"/>
    <row r="2416" customFormat="1"/>
    <row r="2417" customFormat="1"/>
    <row r="2418" customFormat="1"/>
    <row r="2419" customFormat="1"/>
    <row r="2420" customFormat="1"/>
    <row r="2421" customFormat="1"/>
    <row r="2422" customFormat="1"/>
    <row r="2423" customFormat="1"/>
    <row r="2424" customFormat="1"/>
    <row r="2425" customFormat="1"/>
    <row r="2426" customFormat="1"/>
    <row r="2427" customFormat="1"/>
    <row r="2428" customFormat="1"/>
    <row r="2429" customFormat="1"/>
    <row r="2430" customFormat="1"/>
    <row r="2431" customFormat="1"/>
    <row r="2432"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customFormat="1"/>
    <row r="2722" customFormat="1"/>
    <row r="2723" customFormat="1"/>
    <row r="2724" customFormat="1"/>
    <row r="2725" customFormat="1"/>
    <row r="2726" customFormat="1"/>
    <row r="2727" customFormat="1"/>
    <row r="2728" customFormat="1"/>
    <row r="2729" customFormat="1"/>
    <row r="2730" customFormat="1"/>
    <row r="2731" customFormat="1"/>
    <row r="2732" customFormat="1"/>
    <row r="2733" customFormat="1"/>
    <row r="2734" customFormat="1"/>
    <row r="2735" customFormat="1"/>
    <row r="2736" customFormat="1"/>
    <row r="2737" customFormat="1"/>
    <row r="2738" customFormat="1"/>
    <row r="2739" customFormat="1"/>
    <row r="2740" customFormat="1"/>
    <row r="2741" customFormat="1"/>
    <row r="2742" customFormat="1"/>
    <row r="2743" customFormat="1"/>
    <row r="2744" customFormat="1"/>
    <row r="2745" customFormat="1"/>
    <row r="2746" customFormat="1"/>
    <row r="2747" customFormat="1"/>
    <row r="2748" customFormat="1"/>
    <row r="2749" customFormat="1"/>
    <row r="2750" customFormat="1"/>
    <row r="2751" customFormat="1"/>
    <row r="2752" customFormat="1"/>
    <row r="2753" customFormat="1"/>
    <row r="2754" customFormat="1"/>
    <row r="2755" customFormat="1"/>
    <row r="2756" customFormat="1"/>
    <row r="2757" customFormat="1"/>
    <row r="2758" customFormat="1"/>
    <row r="2759" customFormat="1"/>
    <row r="2760" customFormat="1"/>
    <row r="2761" customFormat="1"/>
    <row r="2762" customFormat="1"/>
    <row r="2763" customFormat="1"/>
    <row r="2764" customFormat="1"/>
    <row r="2765" customFormat="1"/>
    <row r="2766" customFormat="1"/>
    <row r="2767" customFormat="1"/>
    <row r="2768" customFormat="1"/>
    <row r="2769" customFormat="1"/>
    <row r="2770" customFormat="1"/>
    <row r="2771" customFormat="1"/>
    <row r="2772" customFormat="1"/>
    <row r="2773" customFormat="1"/>
    <row r="2774" customFormat="1"/>
    <row r="2775" customFormat="1"/>
    <row r="2776" customFormat="1"/>
    <row r="2777" customFormat="1"/>
    <row r="2778" customFormat="1"/>
    <row r="2779" customFormat="1"/>
    <row r="2780" customFormat="1"/>
    <row r="2781" customFormat="1"/>
    <row r="2782" customFormat="1"/>
    <row r="2783" customFormat="1"/>
    <row r="2784" customFormat="1"/>
    <row r="2785" customFormat="1"/>
    <row r="2786" customFormat="1"/>
    <row r="2787" customFormat="1"/>
    <row r="2788" customFormat="1"/>
    <row r="2789" customFormat="1"/>
    <row r="2790" customFormat="1"/>
    <row r="2791" customFormat="1"/>
    <row r="2792" customFormat="1"/>
    <row r="2793" customFormat="1"/>
    <row r="2794" customFormat="1"/>
    <row r="2795" customFormat="1"/>
    <row r="2796" customFormat="1"/>
    <row r="2797" customFormat="1"/>
    <row r="2798" customFormat="1"/>
    <row r="2799" customFormat="1"/>
    <row r="2800" customFormat="1"/>
    <row r="2801" customFormat="1"/>
    <row r="2802" customFormat="1"/>
    <row r="2803" customFormat="1"/>
    <row r="2804" customFormat="1"/>
    <row r="2805" customFormat="1"/>
    <row r="2806" customFormat="1"/>
    <row r="2807" customFormat="1"/>
    <row r="2808" customFormat="1"/>
    <row r="2809" customFormat="1"/>
    <row r="2810" customFormat="1"/>
    <row r="2811" customFormat="1"/>
    <row r="2812" customFormat="1"/>
    <row r="2813" customFormat="1"/>
    <row r="2814" customFormat="1"/>
    <row r="2815" customFormat="1"/>
    <row r="2816" customFormat="1"/>
    <row r="2817" customFormat="1"/>
    <row r="2818" customFormat="1"/>
    <row r="2819" customFormat="1"/>
    <row r="2820" customFormat="1"/>
    <row r="2821" customFormat="1"/>
    <row r="2822" customFormat="1"/>
    <row r="2823" customFormat="1"/>
    <row r="2824" customFormat="1"/>
    <row r="2825" customFormat="1"/>
    <row r="2826" customFormat="1"/>
    <row r="2827" customFormat="1"/>
    <row r="2828" customFormat="1"/>
    <row r="2829" customFormat="1"/>
    <row r="2830" customFormat="1"/>
    <row r="2831" customFormat="1"/>
    <row r="2832" customFormat="1"/>
    <row r="2833" customFormat="1"/>
    <row r="2834" customFormat="1"/>
    <row r="2835" customFormat="1"/>
    <row r="2836" customFormat="1"/>
    <row r="2837" customFormat="1"/>
    <row r="2838" customFormat="1"/>
    <row r="2839" customFormat="1"/>
    <row r="2840" customFormat="1"/>
    <row r="2841" customFormat="1"/>
    <row r="2842" customFormat="1"/>
    <row r="2843" customFormat="1"/>
    <row r="2844" customFormat="1"/>
    <row r="2845" customFormat="1"/>
    <row r="2846" customFormat="1"/>
    <row r="2847" customFormat="1"/>
    <row r="2848" customFormat="1"/>
    <row r="2849" customFormat="1"/>
    <row r="2850" customFormat="1"/>
    <row r="2851" customFormat="1"/>
    <row r="2852" customFormat="1"/>
    <row r="2853" customFormat="1"/>
    <row r="2854" customFormat="1"/>
    <row r="2855" customFormat="1"/>
    <row r="2856" customFormat="1"/>
    <row r="2857" customFormat="1"/>
    <row r="2858" customFormat="1"/>
    <row r="2859" customFormat="1"/>
    <row r="2860" customFormat="1"/>
    <row r="2861" customFormat="1"/>
    <row r="2862" customFormat="1"/>
    <row r="2863" customFormat="1"/>
    <row r="2864" customFormat="1"/>
    <row r="2865" customFormat="1"/>
    <row r="2866" customFormat="1"/>
    <row r="2867" customFormat="1"/>
    <row r="2868" customFormat="1"/>
    <row r="2869" customFormat="1"/>
    <row r="2870" customFormat="1"/>
    <row r="2871" customFormat="1"/>
    <row r="2872" customFormat="1"/>
    <row r="2873" customFormat="1"/>
    <row r="2874" customFormat="1"/>
    <row r="2875" customFormat="1"/>
    <row r="2876" customFormat="1"/>
    <row r="2877" customFormat="1"/>
    <row r="2878" customFormat="1"/>
    <row r="2879" customFormat="1"/>
    <row r="2880" customFormat="1"/>
    <row r="2881" customFormat="1"/>
    <row r="2882" customFormat="1"/>
    <row r="2883" customFormat="1"/>
    <row r="2884" customFormat="1"/>
    <row r="2885" customFormat="1"/>
    <row r="2886" customFormat="1"/>
    <row r="2887" customFormat="1"/>
    <row r="2888" customFormat="1"/>
    <row r="2889" customFormat="1"/>
    <row r="2890" customFormat="1"/>
    <row r="2891" customFormat="1"/>
    <row r="2892" customFormat="1"/>
    <row r="2893" customFormat="1"/>
    <row r="2894" customFormat="1"/>
    <row r="2895" customFormat="1"/>
    <row r="2896" customFormat="1"/>
    <row r="2897" customFormat="1"/>
    <row r="2898" customFormat="1"/>
    <row r="2899" customFormat="1"/>
    <row r="2900" customFormat="1"/>
    <row r="2901" customFormat="1"/>
    <row r="2902" customFormat="1"/>
    <row r="2903" customFormat="1"/>
    <row r="2904" customFormat="1"/>
    <row r="2905" customFormat="1"/>
    <row r="2906" customFormat="1"/>
    <row r="2907" customFormat="1"/>
    <row r="2908" customFormat="1"/>
    <row r="2909" customFormat="1"/>
    <row r="2910" customFormat="1"/>
    <row r="2911" customFormat="1"/>
    <row r="2912" customFormat="1"/>
    <row r="2913" customFormat="1"/>
    <row r="2914" customFormat="1"/>
    <row r="2915" customFormat="1"/>
    <row r="2916" customFormat="1"/>
    <row r="2917" customFormat="1"/>
    <row r="2918" customFormat="1"/>
    <row r="2919" customFormat="1"/>
    <row r="2920" customFormat="1"/>
    <row r="2921" customFormat="1"/>
    <row r="2922" customFormat="1"/>
    <row r="2923" customFormat="1"/>
    <row r="2924" customFormat="1"/>
    <row r="2925" customFormat="1"/>
    <row r="2926" customFormat="1"/>
    <row r="2927" customFormat="1"/>
    <row r="2928" customFormat="1"/>
    <row r="2929" customFormat="1"/>
    <row r="2930" customFormat="1"/>
    <row r="2931" customFormat="1"/>
    <row r="2932" customFormat="1"/>
    <row r="2933" customFormat="1"/>
    <row r="2934" customFormat="1"/>
    <row r="2935" customFormat="1"/>
    <row r="2936" customFormat="1"/>
    <row r="2937" customFormat="1"/>
    <row r="2938" customFormat="1"/>
    <row r="2939" customFormat="1"/>
    <row r="2940" customFormat="1"/>
    <row r="2941" customFormat="1"/>
    <row r="2942" customFormat="1"/>
    <row r="2943" customFormat="1"/>
    <row r="2944" customFormat="1"/>
    <row r="2945" customFormat="1"/>
    <row r="2946" customFormat="1"/>
    <row r="2947" customFormat="1"/>
    <row r="2948" customFormat="1"/>
    <row r="2949" customFormat="1"/>
    <row r="2950" customFormat="1"/>
    <row r="2951" customFormat="1"/>
    <row r="2952" customFormat="1"/>
    <row r="2953" customFormat="1"/>
    <row r="2954" customFormat="1"/>
    <row r="2955" customFormat="1"/>
    <row r="2956" customFormat="1"/>
    <row r="2957" customFormat="1"/>
    <row r="2958" customFormat="1"/>
    <row r="2959" customFormat="1"/>
    <row r="2960" customFormat="1"/>
    <row r="2961" customFormat="1"/>
    <row r="2962" customFormat="1"/>
    <row r="2963" customFormat="1"/>
    <row r="2964" customFormat="1"/>
    <row r="2965" customFormat="1"/>
    <row r="2966" customFormat="1"/>
    <row r="2967" customFormat="1"/>
    <row r="2968" customFormat="1"/>
    <row r="2969" customFormat="1"/>
    <row r="2970" customFormat="1"/>
    <row r="2971" customFormat="1"/>
    <row r="2972" customFormat="1"/>
    <row r="2973" customFormat="1"/>
    <row r="2974" customFormat="1"/>
    <row r="2975" customFormat="1"/>
    <row r="2976" customFormat="1"/>
    <row r="2977" customFormat="1"/>
    <row r="2978" customFormat="1"/>
    <row r="2979" customFormat="1"/>
    <row r="2980" customFormat="1"/>
    <row r="2981" customFormat="1"/>
    <row r="2982" customFormat="1"/>
    <row r="2983" customFormat="1"/>
    <row r="2984" customFormat="1"/>
    <row r="2985" customFormat="1"/>
    <row r="2986" customFormat="1"/>
    <row r="2987" customFormat="1"/>
    <row r="2988" customFormat="1"/>
    <row r="2989" customFormat="1"/>
    <row r="2990" customFormat="1"/>
    <row r="2991" customFormat="1"/>
    <row r="2992" customFormat="1"/>
    <row r="2993" customFormat="1"/>
    <row r="2994" customFormat="1"/>
    <row r="2995" customFormat="1"/>
    <row r="2996" customFormat="1"/>
    <row r="2997" customFormat="1"/>
    <row r="2998" customFormat="1"/>
    <row r="2999" customFormat="1"/>
    <row r="3000" customFormat="1"/>
    <row r="3001" customFormat="1"/>
    <row r="3002" customFormat="1"/>
    <row r="3003" customFormat="1"/>
    <row r="3004" customFormat="1"/>
    <row r="3005" customFormat="1"/>
    <row r="3006" customFormat="1"/>
    <row r="3007" customFormat="1"/>
    <row r="3008" customFormat="1"/>
    <row r="3009" customFormat="1"/>
    <row r="3010" customFormat="1"/>
    <row r="3011" customFormat="1"/>
    <row r="3012" customFormat="1"/>
    <row r="3013" customFormat="1"/>
    <row r="3014" customFormat="1"/>
    <row r="3015" customFormat="1"/>
    <row r="3016" customFormat="1"/>
    <row r="3017" customFormat="1"/>
    <row r="3018" customFormat="1"/>
    <row r="3019" customFormat="1"/>
    <row r="3020" customFormat="1"/>
    <row r="3021" customFormat="1"/>
    <row r="3022" customFormat="1"/>
    <row r="3023" customFormat="1"/>
    <row r="3024" customFormat="1"/>
    <row r="3025" customFormat="1"/>
    <row r="3026" customFormat="1"/>
    <row r="3027" customFormat="1"/>
    <row r="3028" customFormat="1"/>
    <row r="3029" customFormat="1"/>
    <row r="3030" customFormat="1"/>
    <row r="3031" customFormat="1"/>
    <row r="3032" customFormat="1"/>
    <row r="3033" customFormat="1"/>
    <row r="3034" customFormat="1"/>
    <row r="3035" customFormat="1"/>
    <row r="3036" customFormat="1"/>
    <row r="3037" customFormat="1"/>
    <row r="3038" customFormat="1"/>
    <row r="3039" customFormat="1"/>
    <row r="3040" customFormat="1"/>
    <row r="3041" customFormat="1"/>
    <row r="3042" customFormat="1"/>
    <row r="3043" customFormat="1"/>
    <row r="3044" customFormat="1"/>
    <row r="3045" customFormat="1"/>
    <row r="3046" customFormat="1"/>
    <row r="3047" customFormat="1"/>
    <row r="3048" customFormat="1"/>
    <row r="3049" customFormat="1"/>
    <row r="3050" customFormat="1"/>
    <row r="3051" customFormat="1"/>
    <row r="3052" customFormat="1"/>
    <row r="3053" customFormat="1"/>
    <row r="3054" customFormat="1"/>
    <row r="3055" customFormat="1"/>
    <row r="3056" customFormat="1"/>
    <row r="3057" customFormat="1"/>
    <row r="3058" customFormat="1"/>
    <row r="3059" customFormat="1"/>
    <row r="3060" customFormat="1"/>
    <row r="3061" customFormat="1"/>
    <row r="3062" customFormat="1"/>
    <row r="3063" customFormat="1"/>
    <row r="3064" customFormat="1"/>
    <row r="3065" customFormat="1"/>
    <row r="3066" customFormat="1"/>
    <row r="3067" customFormat="1"/>
    <row r="3068" customFormat="1"/>
    <row r="3069" customFormat="1"/>
    <row r="3070" customFormat="1"/>
    <row r="3071" customFormat="1"/>
    <row r="3072" customFormat="1"/>
    <row r="3073" customFormat="1"/>
    <row r="3074" customFormat="1"/>
    <row r="3075" customFormat="1"/>
    <row r="3076" customFormat="1"/>
    <row r="3077" customFormat="1"/>
    <row r="3078" customFormat="1"/>
    <row r="3079" customFormat="1"/>
    <row r="3080" customFormat="1"/>
    <row r="3081" customFormat="1"/>
    <row r="3082" customFormat="1"/>
    <row r="3083" customFormat="1"/>
    <row r="3084" customFormat="1"/>
    <row r="3085" customFormat="1"/>
    <row r="3086" customFormat="1"/>
    <row r="3087" customFormat="1"/>
    <row r="3088" customFormat="1"/>
    <row r="3089" customFormat="1"/>
    <row r="3090" customFormat="1"/>
    <row r="3091" customFormat="1"/>
    <row r="3092" customFormat="1"/>
    <row r="3093" customFormat="1"/>
    <row r="3094" customFormat="1"/>
    <row r="3095" customFormat="1"/>
    <row r="3096" customFormat="1"/>
    <row r="3097" customFormat="1"/>
    <row r="3098" customFormat="1"/>
    <row r="3099" customFormat="1"/>
    <row r="3100" customFormat="1"/>
    <row r="3101" customFormat="1"/>
    <row r="3102" customFormat="1"/>
    <row r="3103" customFormat="1"/>
    <row r="3104" customFormat="1"/>
    <row r="3105" customFormat="1"/>
    <row r="3106" customFormat="1"/>
    <row r="3107" customFormat="1"/>
    <row r="3108" customFormat="1"/>
    <row r="3109" customFormat="1"/>
    <row r="3110" customFormat="1"/>
    <row r="3111" customFormat="1"/>
    <row r="3112" customFormat="1"/>
    <row r="3113" customFormat="1"/>
    <row r="3114" customFormat="1"/>
    <row r="3115" customFormat="1"/>
    <row r="3116" customFormat="1"/>
    <row r="3117" customFormat="1"/>
    <row r="3118" customFormat="1"/>
    <row r="3119" customFormat="1"/>
    <row r="3120" customFormat="1"/>
    <row r="3121" customFormat="1"/>
    <row r="3122" customFormat="1"/>
    <row r="3123" customFormat="1"/>
    <row r="3124" customFormat="1"/>
    <row r="3125" customFormat="1"/>
    <row r="3126" customFormat="1"/>
    <row r="3127" customFormat="1"/>
    <row r="3128" customFormat="1"/>
    <row r="3129" customFormat="1"/>
    <row r="3130" customFormat="1"/>
    <row r="3131" customFormat="1"/>
    <row r="3132" customFormat="1"/>
    <row r="3133" customFormat="1"/>
    <row r="3134" customFormat="1"/>
    <row r="3135" customFormat="1"/>
    <row r="3136" customFormat="1"/>
    <row r="3137" customFormat="1"/>
    <row r="3138" customFormat="1"/>
    <row r="3139" customFormat="1"/>
    <row r="3140" customFormat="1"/>
    <row r="3141" customFormat="1"/>
    <row r="3142" customFormat="1"/>
    <row r="3143" customFormat="1"/>
    <row r="3144" customFormat="1"/>
    <row r="3145" customFormat="1"/>
    <row r="3146" customFormat="1"/>
    <row r="3147" customFormat="1"/>
    <row r="3148" customFormat="1"/>
    <row r="3149" customFormat="1"/>
    <row r="3150" customFormat="1"/>
    <row r="3151" customFormat="1"/>
    <row r="3152" customFormat="1"/>
    <row r="3153" customFormat="1"/>
    <row r="3154" customFormat="1"/>
    <row r="3155" customFormat="1"/>
    <row r="3156" customFormat="1"/>
    <row r="3157" customFormat="1"/>
    <row r="3158" customFormat="1"/>
    <row r="3159" customFormat="1"/>
    <row r="3160" customFormat="1"/>
    <row r="3161" customFormat="1"/>
    <row r="3162" customFormat="1"/>
    <row r="3163" customFormat="1"/>
    <row r="3164" customFormat="1"/>
    <row r="3165" customFormat="1"/>
    <row r="3166" customFormat="1"/>
    <row r="3167" customFormat="1"/>
    <row r="3168" customFormat="1"/>
    <row r="3169" customFormat="1"/>
    <row r="3170" customFormat="1"/>
    <row r="3171" customFormat="1"/>
    <row r="3172" customFormat="1"/>
    <row r="3173" customFormat="1"/>
    <row r="3174" customFormat="1"/>
    <row r="3175" customFormat="1"/>
    <row r="3176" customFormat="1"/>
    <row r="3177" customFormat="1"/>
    <row r="3178" customFormat="1"/>
    <row r="3179" customFormat="1"/>
    <row r="3180" customFormat="1"/>
    <row r="3181" customFormat="1"/>
    <row r="3182" customFormat="1"/>
    <row r="3183" customFormat="1"/>
    <row r="3184" customFormat="1"/>
    <row r="3185" customFormat="1"/>
    <row r="3186" customFormat="1"/>
    <row r="3187" customFormat="1"/>
    <row r="3188" customFormat="1"/>
    <row r="3189" customFormat="1"/>
    <row r="3190" customFormat="1"/>
    <row r="3191" customFormat="1"/>
    <row r="3192" customFormat="1"/>
    <row r="3193" customFormat="1"/>
    <row r="3194" customFormat="1"/>
    <row r="3195" customFormat="1"/>
    <row r="3196" customFormat="1"/>
    <row r="3197" customFormat="1"/>
    <row r="3198" customFormat="1"/>
    <row r="3199" customFormat="1"/>
    <row r="3200" customFormat="1"/>
    <row r="3201" customFormat="1"/>
    <row r="3202" customFormat="1"/>
    <row r="3203" customFormat="1"/>
    <row r="3204" customFormat="1"/>
    <row r="3205" customFormat="1"/>
    <row r="3206" customFormat="1"/>
    <row r="3207" customFormat="1"/>
    <row r="3208" customFormat="1"/>
    <row r="3209" customFormat="1"/>
    <row r="3210" customFormat="1"/>
    <row r="3211" customFormat="1"/>
    <row r="3212" customFormat="1"/>
    <row r="3213" customFormat="1"/>
    <row r="3214" customFormat="1"/>
    <row r="3215" customFormat="1"/>
    <row r="3216" customFormat="1"/>
    <row r="3217" customFormat="1"/>
    <row r="3218" customFormat="1"/>
    <row r="3219" customFormat="1"/>
    <row r="3220" customFormat="1"/>
    <row r="3221" customFormat="1"/>
    <row r="3222" customFormat="1"/>
    <row r="3223" customFormat="1"/>
    <row r="3224" customFormat="1"/>
    <row r="3225" customFormat="1"/>
    <row r="3226" customFormat="1"/>
    <row r="3227" customFormat="1"/>
    <row r="3228" customFormat="1"/>
    <row r="3229" customFormat="1"/>
    <row r="3230" customFormat="1"/>
    <row r="3231" customFormat="1"/>
    <row r="3232" customFormat="1"/>
    <row r="3233" customFormat="1"/>
    <row r="3234" customFormat="1"/>
    <row r="3235" customFormat="1"/>
    <row r="3236" customFormat="1"/>
    <row r="3237" customFormat="1"/>
    <row r="3238" customFormat="1"/>
    <row r="3239" customFormat="1"/>
    <row r="3240" customFormat="1"/>
    <row r="3241" customFormat="1"/>
    <row r="3242" customFormat="1"/>
    <row r="3243" customFormat="1"/>
    <row r="3244" customFormat="1"/>
    <row r="3245" customFormat="1"/>
    <row r="3246" customFormat="1"/>
    <row r="3247" customFormat="1"/>
    <row r="3248" customFormat="1"/>
    <row r="3249" customFormat="1"/>
    <row r="3250" customFormat="1"/>
    <row r="3251" customFormat="1"/>
    <row r="3252" customFormat="1"/>
    <row r="3253" customFormat="1"/>
    <row r="3254" customFormat="1"/>
    <row r="3255" customFormat="1"/>
    <row r="3256" customFormat="1"/>
    <row r="3257" customFormat="1"/>
    <row r="3258" customFormat="1"/>
    <row r="3259" customFormat="1"/>
    <row r="3260" customFormat="1"/>
    <row r="3261" customFormat="1"/>
    <row r="3262" customFormat="1"/>
    <row r="3263" customFormat="1"/>
    <row r="3264" customFormat="1"/>
    <row r="3265" customFormat="1"/>
    <row r="3266" customFormat="1"/>
    <row r="3267" customFormat="1"/>
    <row r="3268" customFormat="1"/>
    <row r="3269" customFormat="1"/>
    <row r="3270" customFormat="1"/>
    <row r="3271" customFormat="1"/>
    <row r="3272" customFormat="1"/>
    <row r="3273" customFormat="1"/>
    <row r="3274" customFormat="1"/>
    <row r="3275" customFormat="1"/>
    <row r="3276" customFormat="1"/>
    <row r="3277" customFormat="1"/>
    <row r="3278" customFormat="1"/>
    <row r="3279" customFormat="1"/>
    <row r="3280" customFormat="1"/>
    <row r="3281" customFormat="1"/>
    <row r="3282" customFormat="1"/>
    <row r="3283" customFormat="1"/>
    <row r="3284" customFormat="1"/>
    <row r="3285" customFormat="1"/>
    <row r="3286" customFormat="1"/>
    <row r="3287" customFormat="1"/>
    <row r="3288" customFormat="1"/>
    <row r="3289" customFormat="1"/>
    <row r="3290" customFormat="1"/>
    <row r="3291" customFormat="1"/>
    <row r="3292" customFormat="1"/>
    <row r="3293" customFormat="1"/>
    <row r="3294" customFormat="1"/>
    <row r="3295" customFormat="1"/>
    <row r="3296" customFormat="1"/>
    <row r="3297" customFormat="1"/>
    <row r="3298" customFormat="1"/>
    <row r="3299" customFormat="1"/>
    <row r="3300" customFormat="1"/>
    <row r="3301" customFormat="1"/>
    <row r="3302" customFormat="1"/>
    <row r="3303" customFormat="1"/>
    <row r="3304" customFormat="1"/>
    <row r="3305" customFormat="1"/>
    <row r="3306" customFormat="1"/>
    <row r="3307" customFormat="1"/>
    <row r="3308" customFormat="1"/>
    <row r="3309" customFormat="1"/>
    <row r="3310" customFormat="1"/>
    <row r="3311" customFormat="1"/>
    <row r="3312" customFormat="1"/>
    <row r="3313" customFormat="1"/>
    <row r="3314" customFormat="1"/>
    <row r="3315" customFormat="1"/>
    <row r="3316" customFormat="1"/>
    <row r="3317" customFormat="1"/>
    <row r="3318" customFormat="1"/>
    <row r="3319" customFormat="1"/>
    <row r="3320" customFormat="1"/>
    <row r="3321" customFormat="1"/>
    <row r="3322" customFormat="1"/>
    <row r="3323" customFormat="1"/>
    <row r="3324" customFormat="1"/>
    <row r="3325" customFormat="1"/>
    <row r="3326" customFormat="1"/>
    <row r="3327" customFormat="1"/>
    <row r="3328" customFormat="1"/>
    <row r="3329" customFormat="1"/>
    <row r="3330" customFormat="1"/>
    <row r="3331" customFormat="1"/>
    <row r="3332" customFormat="1"/>
    <row r="3333" customFormat="1"/>
    <row r="3334" customFormat="1"/>
    <row r="3335" customFormat="1"/>
    <row r="3336" customFormat="1"/>
    <row r="3337" customFormat="1"/>
    <row r="3338" customFormat="1"/>
    <row r="3339" customFormat="1"/>
    <row r="3340" customFormat="1"/>
    <row r="3341" customFormat="1"/>
    <row r="3342" customFormat="1"/>
    <row r="3343" customFormat="1"/>
    <row r="3344" customFormat="1"/>
    <row r="3345" customFormat="1"/>
    <row r="3346" customFormat="1"/>
    <row r="3347" customFormat="1"/>
    <row r="3348" customFormat="1"/>
    <row r="3349" customFormat="1"/>
    <row r="3350" customFormat="1"/>
    <row r="3351" customFormat="1"/>
    <row r="3352" customFormat="1"/>
    <row r="3353" customFormat="1"/>
    <row r="3354" customFormat="1"/>
    <row r="3355" customFormat="1"/>
    <row r="3356" customFormat="1"/>
    <row r="3357" customFormat="1"/>
    <row r="3358" customFormat="1"/>
    <row r="3359" customFormat="1"/>
    <row r="3360" customFormat="1"/>
    <row r="3361" customFormat="1"/>
    <row r="3362" customFormat="1"/>
    <row r="3363" customFormat="1"/>
    <row r="3364" customFormat="1"/>
    <row r="3365" customFormat="1"/>
    <row r="3366" customFormat="1"/>
    <row r="3367" customFormat="1"/>
    <row r="3368" customFormat="1"/>
    <row r="3369" customFormat="1"/>
    <row r="3370" customFormat="1"/>
    <row r="3371" customFormat="1"/>
    <row r="3372" customFormat="1"/>
    <row r="3373" customFormat="1"/>
    <row r="3374" customFormat="1"/>
    <row r="3375" customFormat="1"/>
    <row r="3376" customFormat="1"/>
    <row r="3377" customFormat="1"/>
    <row r="3378" customFormat="1"/>
    <row r="3379" customFormat="1"/>
    <row r="3380" customFormat="1"/>
    <row r="3381" customFormat="1"/>
    <row r="3382" customFormat="1"/>
    <row r="3383" customFormat="1"/>
    <row r="3384" customFormat="1"/>
    <row r="3385" customFormat="1"/>
    <row r="3386" customFormat="1"/>
    <row r="3387" customFormat="1"/>
    <row r="3388" customFormat="1"/>
    <row r="3389" customFormat="1"/>
    <row r="3390" customFormat="1"/>
    <row r="3391" customFormat="1"/>
    <row r="3392" customFormat="1"/>
    <row r="3393" customFormat="1"/>
    <row r="3394" customFormat="1"/>
    <row r="3395" customFormat="1"/>
    <row r="3396" customFormat="1"/>
    <row r="3397" customFormat="1"/>
    <row r="3398" customFormat="1"/>
    <row r="3399" customFormat="1"/>
    <row r="3400" customFormat="1"/>
    <row r="3401" customFormat="1"/>
    <row r="3402" customFormat="1"/>
    <row r="3403" customFormat="1"/>
    <row r="3404" customFormat="1"/>
    <row r="3405" customFormat="1"/>
    <row r="3406" customFormat="1"/>
    <row r="3407" customFormat="1"/>
    <row r="3408" customFormat="1"/>
    <row r="3409" customFormat="1"/>
    <row r="3410" customFormat="1"/>
    <row r="3411" customFormat="1"/>
    <row r="3412" customFormat="1"/>
    <row r="3413" customFormat="1"/>
    <row r="3414" customFormat="1"/>
    <row r="3415" customFormat="1"/>
    <row r="3416" customFormat="1"/>
    <row r="3417" customFormat="1"/>
    <row r="3418" customFormat="1"/>
    <row r="3419" customFormat="1"/>
    <row r="3420" customFormat="1"/>
    <row r="3421" customFormat="1"/>
    <row r="3422" customFormat="1"/>
    <row r="3423" customFormat="1"/>
    <row r="3424" customFormat="1"/>
    <row r="3425" customFormat="1"/>
    <row r="3426" customFormat="1"/>
    <row r="3427" customFormat="1"/>
    <row r="3428" customFormat="1"/>
    <row r="3429" customFormat="1"/>
    <row r="3430" customFormat="1"/>
    <row r="3431" customFormat="1"/>
    <row r="3432" customFormat="1"/>
    <row r="3433" customFormat="1"/>
    <row r="3434" customFormat="1"/>
    <row r="3435" customFormat="1"/>
    <row r="3436" customFormat="1"/>
    <row r="3437" customFormat="1"/>
    <row r="3438" customFormat="1"/>
    <row r="3439" customFormat="1"/>
    <row r="3440" customFormat="1"/>
    <row r="3441" customFormat="1"/>
    <row r="3442" customFormat="1"/>
    <row r="3443" customFormat="1"/>
    <row r="3444" customFormat="1"/>
    <row r="3445" customFormat="1"/>
    <row r="3446" customFormat="1"/>
    <row r="3447" customFormat="1"/>
    <row r="3448" customFormat="1"/>
    <row r="3449" customFormat="1"/>
    <row r="3450" customFormat="1"/>
    <row r="3451" customFormat="1"/>
    <row r="3452" customFormat="1"/>
    <row r="3453" customFormat="1"/>
    <row r="3454" customFormat="1"/>
    <row r="3455" customFormat="1"/>
    <row r="3456" customFormat="1"/>
    <row r="3457" customFormat="1"/>
    <row r="3458" customFormat="1"/>
    <row r="3459" customFormat="1"/>
    <row r="3460" customFormat="1"/>
    <row r="3461" customFormat="1"/>
    <row r="3462" customFormat="1"/>
    <row r="3463" customFormat="1"/>
    <row r="3464" customFormat="1"/>
    <row r="3465" customFormat="1"/>
    <row r="3466" customFormat="1"/>
    <row r="3467" customFormat="1"/>
    <row r="3468" customFormat="1"/>
    <row r="3469" customFormat="1"/>
    <row r="3470" customFormat="1"/>
    <row r="3471" customFormat="1"/>
    <row r="3472" customFormat="1"/>
    <row r="3473" customFormat="1"/>
    <row r="3474" customFormat="1"/>
    <row r="3475" customFormat="1"/>
    <row r="3476" customFormat="1"/>
    <row r="3477" customFormat="1"/>
    <row r="3478" customFormat="1"/>
    <row r="3479" customFormat="1"/>
    <row r="3480" customFormat="1"/>
    <row r="3481" customFormat="1"/>
    <row r="3482" customFormat="1"/>
    <row r="3483" customFormat="1"/>
    <row r="3484" customFormat="1"/>
    <row r="3485" customFormat="1"/>
    <row r="3486" customFormat="1"/>
    <row r="3487" customFormat="1"/>
    <row r="3488" customFormat="1"/>
    <row r="3489" customFormat="1"/>
    <row r="3490" customFormat="1"/>
    <row r="3491" customFormat="1"/>
    <row r="3492" customFormat="1"/>
    <row r="3493" customFormat="1"/>
    <row r="3494" customFormat="1"/>
    <row r="3495" customFormat="1"/>
    <row r="3496" customFormat="1"/>
    <row r="3497" customFormat="1"/>
    <row r="3498" customFormat="1"/>
    <row r="3499" customFormat="1"/>
    <row r="3500" customFormat="1"/>
    <row r="3501" customFormat="1"/>
    <row r="3502" customFormat="1"/>
    <row r="3503" customFormat="1"/>
    <row r="3504" customFormat="1"/>
    <row r="3505" customFormat="1"/>
    <row r="3506" customFormat="1"/>
    <row r="3507" customFormat="1"/>
    <row r="3508" customFormat="1"/>
    <row r="3509" customFormat="1"/>
    <row r="3510" customFormat="1"/>
    <row r="3511" customFormat="1"/>
    <row r="3512" customFormat="1"/>
    <row r="3513" customFormat="1"/>
    <row r="3514" customFormat="1"/>
    <row r="3515" customFormat="1"/>
    <row r="3516" customFormat="1"/>
    <row r="3517" customFormat="1"/>
    <row r="3518" customFormat="1"/>
    <row r="3519" customFormat="1"/>
    <row r="3520" customFormat="1"/>
    <row r="3521" customFormat="1"/>
    <row r="3522" customFormat="1"/>
    <row r="3523" customFormat="1"/>
    <row r="3524" customFormat="1"/>
    <row r="3525" customFormat="1"/>
    <row r="3526" customFormat="1"/>
    <row r="3527" customFormat="1"/>
    <row r="3528" customFormat="1"/>
    <row r="3529" customFormat="1"/>
    <row r="3530" customFormat="1"/>
    <row r="3531" customFormat="1"/>
    <row r="3532" customFormat="1"/>
    <row r="3533" customFormat="1"/>
    <row r="3534" customFormat="1"/>
    <row r="3535" customFormat="1"/>
    <row r="3536" customFormat="1"/>
    <row r="3537" customFormat="1"/>
    <row r="3538" customFormat="1"/>
    <row r="3539" customFormat="1"/>
    <row r="3540" customFormat="1"/>
    <row r="3541" customFormat="1"/>
    <row r="3542" customFormat="1"/>
    <row r="3543" customFormat="1"/>
    <row r="3544" customFormat="1"/>
    <row r="3545" customFormat="1"/>
    <row r="3546" customFormat="1"/>
    <row r="3547" customFormat="1"/>
    <row r="3548" customFormat="1"/>
    <row r="3549" customFormat="1"/>
    <row r="3550" customFormat="1"/>
    <row r="3551" customFormat="1"/>
    <row r="3552" customFormat="1"/>
    <row r="3553" customFormat="1"/>
    <row r="3554" customFormat="1"/>
    <row r="3555" customFormat="1"/>
    <row r="3556" customFormat="1"/>
    <row r="3557" customFormat="1"/>
    <row r="3558" customFormat="1"/>
    <row r="3559" customFormat="1"/>
    <row r="3560" customFormat="1"/>
    <row r="3561" customFormat="1"/>
    <row r="3562" customFormat="1"/>
    <row r="3563" customFormat="1"/>
    <row r="3564" customFormat="1"/>
    <row r="3565" customFormat="1"/>
    <row r="3566" customFormat="1"/>
    <row r="3567" customFormat="1"/>
    <row r="3568" customFormat="1"/>
    <row r="3569" customFormat="1"/>
    <row r="3570" customFormat="1"/>
    <row r="3571" customFormat="1"/>
    <row r="3572" customFormat="1"/>
    <row r="3573" customFormat="1"/>
    <row r="3574" customFormat="1"/>
    <row r="3575" customFormat="1"/>
    <row r="3576" customFormat="1"/>
    <row r="3577" customFormat="1"/>
    <row r="3578" customFormat="1"/>
    <row r="3579" customFormat="1"/>
    <row r="3580" customFormat="1"/>
    <row r="3581" customFormat="1"/>
    <row r="3582" customFormat="1"/>
    <row r="3583" customFormat="1"/>
    <row r="3584" customFormat="1"/>
    <row r="3585" customFormat="1"/>
    <row r="3586" customFormat="1"/>
    <row r="3587" customFormat="1"/>
    <row r="3588" customFormat="1"/>
    <row r="3589" customFormat="1"/>
    <row r="3590" customFormat="1"/>
    <row r="3591" customFormat="1"/>
    <row r="3592" customFormat="1"/>
    <row r="3593" customFormat="1"/>
    <row r="3594" customFormat="1"/>
    <row r="3595" customFormat="1"/>
    <row r="3596" customFormat="1"/>
    <row r="3597" customFormat="1"/>
    <row r="3598" customFormat="1"/>
    <row r="3599" customFormat="1"/>
    <row r="3600" customFormat="1"/>
    <row r="3601" customFormat="1"/>
    <row r="3602" customFormat="1"/>
    <row r="3603" customFormat="1"/>
    <row r="3604" customFormat="1"/>
    <row r="3605" customFormat="1"/>
    <row r="3606" customFormat="1"/>
    <row r="3607" customFormat="1"/>
    <row r="3608" customFormat="1"/>
    <row r="3609" customFormat="1"/>
    <row r="3610" customFormat="1"/>
    <row r="3611" customFormat="1"/>
    <row r="3612" customFormat="1"/>
    <row r="3613" customFormat="1"/>
    <row r="3614" customFormat="1"/>
    <row r="3615" customFormat="1"/>
    <row r="3616" customFormat="1"/>
    <row r="3617" customFormat="1"/>
    <row r="3618" customFormat="1"/>
    <row r="3619" customFormat="1"/>
    <row r="3620" customFormat="1"/>
    <row r="3621" customFormat="1"/>
    <row r="3622" customFormat="1"/>
    <row r="3623" customFormat="1"/>
    <row r="3624" customFormat="1"/>
    <row r="3625" customFormat="1"/>
    <row r="3626" customFormat="1"/>
    <row r="3627" customFormat="1"/>
    <row r="3628" customFormat="1"/>
    <row r="3629" customFormat="1"/>
    <row r="3630" customFormat="1"/>
    <row r="3631" customFormat="1"/>
    <row r="3632" customFormat="1"/>
    <row r="3633" customFormat="1"/>
    <row r="3634" customFormat="1"/>
    <row r="3635" customFormat="1"/>
    <row r="3636" customFormat="1"/>
    <row r="3637" customFormat="1"/>
    <row r="3638" customFormat="1"/>
    <row r="3639" customFormat="1"/>
    <row r="3640" customFormat="1"/>
    <row r="3641" customFormat="1"/>
    <row r="3642" customFormat="1"/>
    <row r="3643" customFormat="1"/>
    <row r="3644" customFormat="1"/>
    <row r="3645" customFormat="1"/>
    <row r="3646" customFormat="1"/>
    <row r="3647" customFormat="1"/>
    <row r="3648" customFormat="1"/>
    <row r="3649" customFormat="1"/>
    <row r="3650" customFormat="1"/>
    <row r="3651" customFormat="1"/>
    <row r="3652" customFormat="1"/>
    <row r="3653" customFormat="1"/>
    <row r="3654" customFormat="1"/>
    <row r="3655" customFormat="1"/>
    <row r="3656" customFormat="1"/>
    <row r="3657" customFormat="1"/>
    <row r="3658" customFormat="1"/>
    <row r="3659" customFormat="1"/>
    <row r="3660" customFormat="1"/>
    <row r="3661" customFormat="1"/>
    <row r="3662" customFormat="1"/>
    <row r="3663" customFormat="1"/>
    <row r="3664" customFormat="1"/>
    <row r="3665" customFormat="1"/>
    <row r="3666" customFormat="1"/>
    <row r="3667" customFormat="1"/>
    <row r="3668" customFormat="1"/>
    <row r="3669" customFormat="1"/>
    <row r="3670" customFormat="1"/>
    <row r="3671" customFormat="1"/>
    <row r="3672" customFormat="1"/>
    <row r="3673" customFormat="1"/>
    <row r="3674" customFormat="1"/>
    <row r="3675" customFormat="1"/>
    <row r="3676" customFormat="1"/>
    <row r="3677" customFormat="1"/>
    <row r="3678" customFormat="1"/>
    <row r="3679" customFormat="1"/>
    <row r="3680" customFormat="1"/>
    <row r="3681" customFormat="1"/>
    <row r="3682" customFormat="1"/>
    <row r="3683" customFormat="1"/>
    <row r="3684" customFormat="1"/>
    <row r="3685" customFormat="1"/>
    <row r="3686" customFormat="1"/>
    <row r="3687" customFormat="1"/>
    <row r="3688" customFormat="1"/>
    <row r="3689" customFormat="1"/>
    <row r="3690" customFormat="1"/>
    <row r="3691" customFormat="1"/>
    <row r="3692" customFormat="1"/>
    <row r="3693" customFormat="1"/>
    <row r="3694" customFormat="1"/>
    <row r="3695" customFormat="1"/>
    <row r="3696" customFormat="1"/>
    <row r="3697" customFormat="1"/>
    <row r="3698" customFormat="1"/>
    <row r="3699" customFormat="1"/>
    <row r="3700" customFormat="1"/>
    <row r="3701" customFormat="1"/>
    <row r="3702" customFormat="1"/>
    <row r="3703" customFormat="1"/>
    <row r="3704" customFormat="1"/>
    <row r="3705" customFormat="1"/>
    <row r="3706" customFormat="1"/>
    <row r="3707" customFormat="1"/>
    <row r="3708" customFormat="1"/>
    <row r="3709" customFormat="1"/>
    <row r="3710" customFormat="1"/>
    <row r="3711" customFormat="1"/>
    <row r="3712" customFormat="1"/>
    <row r="3713" customFormat="1"/>
    <row r="3714" customFormat="1"/>
    <row r="3715" customFormat="1"/>
    <row r="3716" customFormat="1"/>
    <row r="3717" customFormat="1"/>
    <row r="3718" customFormat="1"/>
    <row r="3719" customFormat="1"/>
    <row r="3720" customFormat="1"/>
    <row r="3721" customFormat="1"/>
    <row r="3722" customFormat="1"/>
    <row r="3723" customFormat="1"/>
    <row r="3724" customFormat="1"/>
    <row r="3725" customFormat="1"/>
    <row r="3726" customFormat="1"/>
    <row r="3727" customFormat="1"/>
    <row r="3728" customFormat="1"/>
    <row r="3729" customFormat="1"/>
    <row r="3730" customFormat="1"/>
    <row r="3731" customFormat="1"/>
    <row r="3732" customFormat="1"/>
    <row r="3733" customFormat="1"/>
    <row r="3734" customFormat="1"/>
    <row r="3735" customFormat="1"/>
    <row r="3736" customFormat="1"/>
    <row r="3737" customFormat="1"/>
    <row r="3738" customFormat="1"/>
    <row r="3739" customFormat="1"/>
    <row r="3740" customFormat="1"/>
    <row r="3741" customFormat="1"/>
    <row r="3742" customFormat="1"/>
    <row r="3743" customFormat="1"/>
    <row r="3744" customFormat="1"/>
    <row r="3745" customFormat="1"/>
    <row r="3746" customFormat="1"/>
    <row r="3747" customFormat="1"/>
    <row r="3748" customFormat="1"/>
    <row r="3749" customFormat="1"/>
    <row r="3750" customFormat="1"/>
    <row r="3751" customFormat="1"/>
    <row r="3752" customFormat="1"/>
    <row r="3753" customFormat="1"/>
    <row r="3754" customFormat="1"/>
    <row r="3755" customFormat="1"/>
    <row r="3756" customFormat="1"/>
    <row r="3757" customFormat="1"/>
    <row r="3758" customFormat="1"/>
    <row r="3759" customFormat="1"/>
    <row r="3760" customFormat="1"/>
    <row r="3761" customFormat="1"/>
    <row r="3762" customFormat="1"/>
    <row r="3763" customFormat="1"/>
    <row r="3764" customFormat="1"/>
    <row r="3765" customFormat="1"/>
    <row r="3766" customFormat="1"/>
    <row r="3767" customFormat="1"/>
    <row r="3768" customFormat="1"/>
    <row r="3769" customFormat="1"/>
    <row r="3770" customFormat="1"/>
    <row r="3771" customFormat="1"/>
    <row r="3772" customFormat="1"/>
    <row r="3773" customFormat="1"/>
    <row r="3774" customFormat="1"/>
    <row r="3775" customFormat="1"/>
    <row r="3776" customFormat="1"/>
    <row r="3777" customFormat="1"/>
    <row r="3778" customFormat="1"/>
    <row r="3779" customFormat="1"/>
    <row r="3780" customFormat="1"/>
    <row r="3781" customFormat="1"/>
    <row r="3782" customFormat="1"/>
    <row r="3783" customFormat="1"/>
    <row r="3784" customFormat="1"/>
    <row r="3785" customFormat="1"/>
    <row r="3786" customFormat="1"/>
    <row r="3787" customFormat="1"/>
    <row r="3788" customFormat="1"/>
    <row r="3789" customFormat="1"/>
    <row r="3790" customFormat="1"/>
    <row r="3791" customFormat="1"/>
    <row r="3792" customFormat="1"/>
    <row r="3793" customFormat="1"/>
    <row r="3794" customFormat="1"/>
    <row r="3795" customFormat="1"/>
    <row r="3796" customFormat="1"/>
    <row r="3797" customFormat="1"/>
    <row r="3798" customFormat="1"/>
    <row r="3799" customFormat="1"/>
    <row r="3800" customFormat="1"/>
    <row r="3801" customFormat="1"/>
    <row r="3802" customFormat="1"/>
    <row r="3803" customFormat="1"/>
    <row r="3804" customFormat="1"/>
    <row r="3805" customFormat="1"/>
    <row r="3806" customFormat="1"/>
    <row r="3807" customFormat="1"/>
    <row r="3808" customFormat="1"/>
    <row r="3809" customFormat="1"/>
    <row r="3810" customFormat="1"/>
    <row r="3811" customFormat="1"/>
    <row r="3812" customFormat="1"/>
    <row r="3813" customFormat="1"/>
    <row r="3814" customFormat="1"/>
    <row r="3815" customFormat="1"/>
    <row r="3816" customFormat="1"/>
    <row r="3817" customFormat="1"/>
    <row r="3818" customFormat="1"/>
    <row r="3819" customFormat="1"/>
    <row r="3820" customFormat="1"/>
    <row r="3821" customFormat="1"/>
    <row r="3822" customFormat="1"/>
    <row r="3823" customFormat="1"/>
    <row r="3824" customFormat="1"/>
    <row r="3825" customFormat="1"/>
    <row r="3826" customFormat="1"/>
    <row r="3827" customFormat="1"/>
    <row r="3828" customFormat="1"/>
    <row r="3829" customFormat="1"/>
    <row r="3830" customFormat="1"/>
    <row r="3831" customFormat="1"/>
    <row r="3832" customFormat="1"/>
    <row r="3833" customFormat="1"/>
    <row r="3834" customFormat="1"/>
    <row r="3835" customFormat="1"/>
    <row r="3836" customFormat="1"/>
    <row r="3837" customFormat="1"/>
    <row r="3838" customFormat="1"/>
    <row r="3839" customFormat="1"/>
    <row r="3840" customFormat="1"/>
    <row r="3841" customFormat="1"/>
    <row r="3842" customFormat="1"/>
    <row r="3843" customFormat="1"/>
    <row r="3844" customFormat="1"/>
    <row r="3845" customFormat="1"/>
    <row r="3846" customFormat="1"/>
    <row r="3847" customFormat="1"/>
    <row r="3848" customFormat="1"/>
    <row r="3849" customFormat="1"/>
    <row r="3850" customFormat="1"/>
    <row r="3851" customFormat="1"/>
    <row r="3852" customFormat="1"/>
    <row r="3853" customFormat="1"/>
    <row r="3854" customFormat="1"/>
    <row r="3855" customFormat="1"/>
    <row r="3856" customFormat="1"/>
    <row r="3857" customFormat="1"/>
    <row r="3858" customFormat="1"/>
    <row r="3859" customFormat="1"/>
    <row r="3860" customFormat="1"/>
    <row r="3861" customFormat="1"/>
    <row r="3862" customFormat="1"/>
    <row r="3863" customFormat="1"/>
    <row r="3864" customFormat="1"/>
    <row r="3865" customFormat="1"/>
    <row r="3866" customFormat="1"/>
    <row r="3867" customFormat="1"/>
    <row r="3868" customFormat="1"/>
    <row r="3869" customFormat="1"/>
    <row r="3870" customFormat="1"/>
    <row r="3871" customFormat="1"/>
    <row r="3872" customFormat="1"/>
    <row r="3873" customFormat="1"/>
    <row r="3874" customFormat="1"/>
    <row r="3875" customFormat="1"/>
    <row r="3876" customFormat="1"/>
    <row r="3877" customFormat="1"/>
    <row r="3878" customFormat="1"/>
    <row r="3879" customFormat="1"/>
    <row r="3880" customFormat="1"/>
    <row r="3881" customFormat="1"/>
    <row r="3882" customFormat="1"/>
    <row r="3883" customFormat="1"/>
    <row r="3884" customFormat="1"/>
    <row r="3885" customFormat="1"/>
    <row r="3886" customFormat="1"/>
    <row r="3887" customFormat="1"/>
    <row r="3888" customFormat="1"/>
    <row r="3889" customFormat="1"/>
    <row r="3890" customFormat="1"/>
    <row r="3891" customFormat="1"/>
    <row r="3892" customFormat="1"/>
    <row r="3893" customFormat="1"/>
    <row r="3894" customFormat="1"/>
    <row r="3895" customFormat="1"/>
    <row r="3896" customFormat="1"/>
    <row r="3897" customFormat="1"/>
    <row r="3898" customFormat="1"/>
    <row r="3899" customFormat="1"/>
    <row r="3900" customFormat="1"/>
    <row r="3901" customFormat="1"/>
    <row r="3902" customFormat="1"/>
    <row r="3903" customFormat="1"/>
    <row r="3904" customFormat="1"/>
    <row r="3905" customFormat="1"/>
    <row r="3906" customFormat="1"/>
    <row r="3907" customFormat="1"/>
    <row r="3908" customFormat="1"/>
    <row r="3909" customFormat="1"/>
    <row r="3910" customFormat="1"/>
    <row r="3911" customFormat="1"/>
    <row r="3912" customFormat="1"/>
    <row r="3913" customFormat="1"/>
    <row r="3914" customFormat="1"/>
    <row r="3915" customFormat="1"/>
    <row r="3916" customFormat="1"/>
    <row r="3917" customFormat="1"/>
    <row r="3918" customFormat="1"/>
    <row r="3919" customFormat="1"/>
    <row r="3920" customFormat="1"/>
    <row r="3921" customFormat="1"/>
    <row r="3922" customFormat="1"/>
    <row r="3923" customFormat="1"/>
    <row r="3924" customFormat="1"/>
    <row r="3925" customFormat="1"/>
    <row r="3926" customFormat="1"/>
    <row r="3927" customFormat="1"/>
    <row r="3928" customFormat="1"/>
    <row r="3929" customFormat="1"/>
    <row r="3930" customFormat="1"/>
    <row r="3931" customFormat="1"/>
    <row r="3932" customFormat="1"/>
    <row r="3933" customFormat="1"/>
    <row r="3934" customFormat="1"/>
    <row r="3935" customFormat="1"/>
    <row r="3936" customFormat="1"/>
    <row r="3937" customFormat="1"/>
    <row r="3938" customFormat="1"/>
    <row r="3939" customFormat="1"/>
    <row r="3940" customFormat="1"/>
    <row r="3941" customFormat="1"/>
    <row r="3942" customFormat="1"/>
    <row r="3943" customFormat="1"/>
    <row r="3944" customFormat="1"/>
    <row r="3945" customFormat="1"/>
    <row r="3946" customFormat="1"/>
    <row r="3947" customFormat="1"/>
    <row r="3948" customFormat="1"/>
    <row r="3949" customFormat="1"/>
    <row r="3950" customFormat="1"/>
    <row r="3951" customFormat="1"/>
    <row r="3952" customFormat="1"/>
    <row r="3953" customFormat="1"/>
    <row r="3954" customFormat="1"/>
    <row r="3955" customFormat="1"/>
    <row r="3956" customFormat="1"/>
    <row r="3957" customFormat="1"/>
    <row r="3958" customFormat="1"/>
    <row r="3959" customFormat="1"/>
    <row r="3960" customFormat="1"/>
    <row r="3961" customFormat="1"/>
    <row r="3962" customFormat="1"/>
    <row r="3963" customFormat="1"/>
    <row r="3964" customFormat="1"/>
    <row r="3965" customFormat="1"/>
    <row r="3966" customFormat="1"/>
    <row r="3967" customFormat="1"/>
    <row r="3968" customFormat="1"/>
    <row r="3969" customFormat="1"/>
    <row r="3970" customFormat="1"/>
    <row r="3971" customFormat="1"/>
    <row r="3972" customFormat="1"/>
    <row r="3973" customFormat="1"/>
    <row r="3974" customFormat="1"/>
    <row r="3975" customFormat="1"/>
    <row r="3976" customFormat="1"/>
    <row r="3977" customFormat="1"/>
    <row r="3978" customFormat="1"/>
    <row r="3979" customFormat="1"/>
    <row r="3980" customFormat="1"/>
    <row r="3981" customFormat="1"/>
    <row r="3982" customFormat="1"/>
    <row r="3983" customFormat="1"/>
    <row r="3984" customFormat="1"/>
    <row r="3985" customFormat="1"/>
    <row r="3986" customFormat="1"/>
    <row r="3987" customFormat="1"/>
    <row r="3988" customFormat="1"/>
    <row r="3989" customFormat="1"/>
    <row r="3990" customFormat="1"/>
    <row r="3991" customFormat="1"/>
    <row r="3992" customFormat="1"/>
    <row r="3993" customFormat="1"/>
    <row r="3994" customFormat="1"/>
    <row r="3995" customFormat="1"/>
    <row r="3996" customFormat="1"/>
    <row r="3997" customFormat="1"/>
    <row r="3998" customFormat="1"/>
    <row r="3999" customFormat="1"/>
    <row r="4000" customFormat="1"/>
    <row r="4001" customFormat="1"/>
    <row r="4002" customFormat="1"/>
    <row r="4003" customFormat="1"/>
    <row r="4004" customFormat="1"/>
    <row r="4005" customFormat="1"/>
    <row r="4006" customFormat="1"/>
    <row r="4007" customFormat="1"/>
    <row r="4008" customFormat="1"/>
    <row r="4009" customFormat="1"/>
    <row r="4010" customFormat="1"/>
    <row r="4011" customFormat="1"/>
    <row r="4012" customFormat="1"/>
    <row r="4013" customFormat="1"/>
    <row r="4014" customFormat="1"/>
    <row r="4015" customFormat="1"/>
    <row r="4016" customFormat="1"/>
    <row r="4017" customFormat="1"/>
    <row r="4018" customFormat="1"/>
    <row r="4019" customFormat="1"/>
    <row r="4020" customFormat="1"/>
    <row r="4021" customFormat="1"/>
    <row r="4022" customFormat="1"/>
    <row r="4023" customFormat="1"/>
    <row r="4024" customFormat="1"/>
    <row r="4025" customFormat="1"/>
    <row r="4026" customFormat="1"/>
    <row r="4027" customFormat="1"/>
    <row r="4028" customFormat="1"/>
    <row r="4029" customFormat="1"/>
    <row r="4030" customFormat="1"/>
    <row r="4031" customFormat="1"/>
    <row r="4032" customFormat="1"/>
    <row r="4033" customFormat="1"/>
    <row r="4034" customFormat="1"/>
    <row r="4035" customFormat="1"/>
    <row r="4036" customFormat="1"/>
    <row r="4037" customFormat="1"/>
    <row r="4038" customFormat="1"/>
    <row r="4039" customFormat="1"/>
    <row r="4040" customFormat="1"/>
    <row r="4041" customFormat="1"/>
    <row r="4042" customFormat="1"/>
    <row r="4043" customFormat="1"/>
    <row r="4044" customFormat="1"/>
    <row r="4045" customFormat="1"/>
    <row r="4046" customFormat="1"/>
    <row r="4047" customFormat="1"/>
    <row r="4048" customFormat="1"/>
    <row r="4049" customFormat="1"/>
    <row r="4050" customFormat="1"/>
    <row r="4051" customFormat="1"/>
    <row r="4052" customFormat="1"/>
    <row r="4053" customFormat="1"/>
    <row r="4054" customFormat="1"/>
    <row r="4055" customFormat="1"/>
    <row r="4056" customFormat="1"/>
    <row r="4057" customFormat="1"/>
    <row r="4058" customFormat="1"/>
    <row r="4059" customFormat="1"/>
    <row r="4060" customFormat="1"/>
    <row r="4061" customFormat="1"/>
    <row r="4062" customFormat="1"/>
    <row r="4063" customFormat="1"/>
    <row r="4064" customFormat="1"/>
    <row r="4065" customFormat="1"/>
    <row r="4066" customFormat="1"/>
    <row r="4067" customFormat="1"/>
    <row r="4068" customFormat="1"/>
    <row r="4069" customFormat="1"/>
    <row r="4070" customFormat="1"/>
    <row r="4071" customFormat="1"/>
    <row r="4072" customFormat="1"/>
    <row r="4073" customFormat="1"/>
    <row r="4074" customFormat="1"/>
    <row r="4075" customFormat="1"/>
    <row r="4076" customFormat="1"/>
    <row r="4077" customFormat="1"/>
    <row r="4078" customFormat="1"/>
    <row r="4079" customFormat="1"/>
    <row r="4080" customFormat="1"/>
    <row r="4081" customFormat="1"/>
    <row r="4082" customFormat="1"/>
    <row r="4083" customFormat="1"/>
    <row r="4084" customFormat="1"/>
    <row r="4085" customFormat="1"/>
    <row r="4086" customFormat="1"/>
    <row r="4087" customFormat="1"/>
    <row r="4088" customFormat="1"/>
    <row r="4089" customFormat="1"/>
    <row r="4090" customFormat="1"/>
    <row r="4091" customFormat="1"/>
    <row r="4092" customFormat="1"/>
    <row r="4093" customFormat="1"/>
    <row r="4094" customFormat="1"/>
    <row r="4095" customFormat="1"/>
    <row r="4096" customFormat="1"/>
    <row r="4097" customFormat="1"/>
    <row r="4098" customFormat="1"/>
    <row r="4099" customFormat="1"/>
    <row r="4100" customFormat="1"/>
    <row r="4101" customFormat="1"/>
    <row r="4102" customFormat="1"/>
    <row r="4103" customFormat="1"/>
    <row r="4104" customFormat="1"/>
    <row r="4105" customFormat="1"/>
    <row r="4106" customFormat="1"/>
    <row r="4107" customFormat="1"/>
    <row r="4108" customFormat="1"/>
    <row r="4109" customFormat="1"/>
    <row r="4110" customFormat="1"/>
    <row r="4111" customFormat="1"/>
    <row r="4112" customFormat="1"/>
    <row r="4113" customFormat="1"/>
    <row r="4114" customFormat="1"/>
    <row r="4115" customFormat="1"/>
    <row r="4116" customFormat="1"/>
    <row r="4117" customFormat="1"/>
    <row r="4118" customFormat="1"/>
    <row r="4119" customFormat="1"/>
    <row r="4120" customFormat="1"/>
    <row r="4121" customFormat="1"/>
    <row r="4122" customFormat="1"/>
    <row r="4123" customFormat="1"/>
    <row r="4124" customFormat="1"/>
    <row r="4125" customFormat="1"/>
    <row r="4126" customFormat="1"/>
    <row r="4127" customFormat="1"/>
    <row r="4128" customFormat="1"/>
    <row r="4129" customFormat="1"/>
    <row r="4130" customFormat="1"/>
    <row r="4131" customFormat="1"/>
    <row r="4132" customFormat="1"/>
    <row r="4133" customFormat="1"/>
    <row r="4134" customFormat="1"/>
    <row r="4135" customFormat="1"/>
    <row r="4136" customFormat="1"/>
    <row r="4137" customFormat="1"/>
    <row r="4138" customFormat="1"/>
    <row r="4139" customFormat="1"/>
    <row r="4140" customFormat="1"/>
    <row r="4141" customFormat="1"/>
    <row r="4142" customFormat="1"/>
    <row r="4143" customFormat="1"/>
    <row r="4144" customFormat="1"/>
    <row r="4145" customFormat="1"/>
    <row r="4146" customFormat="1"/>
    <row r="4147" customFormat="1"/>
    <row r="4148" customFormat="1"/>
    <row r="4149" customFormat="1"/>
    <row r="4150" customFormat="1"/>
    <row r="4151" customFormat="1"/>
    <row r="4152" customFormat="1"/>
    <row r="4153" customFormat="1"/>
    <row r="4154" customFormat="1"/>
    <row r="4155" customFormat="1"/>
    <row r="4156" customFormat="1"/>
    <row r="4157" customFormat="1"/>
    <row r="4158" customFormat="1"/>
    <row r="4159" customFormat="1"/>
    <row r="4160" customFormat="1"/>
    <row r="4161" customFormat="1"/>
    <row r="4162" customFormat="1"/>
    <row r="4163" customFormat="1"/>
    <row r="4164" customFormat="1"/>
    <row r="4165" customFormat="1"/>
    <row r="4166" customFormat="1"/>
    <row r="4167" customFormat="1"/>
    <row r="4168" customFormat="1"/>
    <row r="4169" customFormat="1"/>
    <row r="4170" customFormat="1"/>
    <row r="4171" customFormat="1"/>
    <row r="4172" customFormat="1"/>
    <row r="4173" customFormat="1"/>
    <row r="4174" customFormat="1"/>
    <row r="4175" customFormat="1"/>
    <row r="4176" customFormat="1"/>
    <row r="4177" customFormat="1"/>
    <row r="4178" customFormat="1"/>
    <row r="4179" customFormat="1"/>
    <row r="4180" customFormat="1"/>
    <row r="4181" customFormat="1"/>
    <row r="4182" customFormat="1"/>
    <row r="4183" customFormat="1"/>
    <row r="4184" customFormat="1"/>
    <row r="4185" customFormat="1"/>
    <row r="4186" customFormat="1"/>
    <row r="4187" customFormat="1"/>
    <row r="4188" customFormat="1"/>
    <row r="4189" customFormat="1"/>
    <row r="4190" customFormat="1"/>
    <row r="4191" customFormat="1"/>
    <row r="4192" customFormat="1"/>
    <row r="4193" customFormat="1"/>
    <row r="4194" customFormat="1"/>
    <row r="4195" customFormat="1"/>
    <row r="4196" customFormat="1"/>
    <row r="4197" customFormat="1"/>
    <row r="4198" customFormat="1"/>
    <row r="4199" customFormat="1"/>
    <row r="4200" customFormat="1"/>
    <row r="4201" customFormat="1"/>
    <row r="4202" customFormat="1"/>
    <row r="4203" customFormat="1"/>
    <row r="4204" customFormat="1"/>
    <row r="4205" customFormat="1"/>
    <row r="4206" customFormat="1"/>
    <row r="4207" customFormat="1"/>
    <row r="4208" customFormat="1"/>
    <row r="4209" customFormat="1"/>
    <row r="4210" customFormat="1"/>
    <row r="4211" customFormat="1"/>
    <row r="4212" customFormat="1"/>
    <row r="4213" customFormat="1"/>
    <row r="4214" customFormat="1"/>
    <row r="4215" customFormat="1"/>
    <row r="4216" customFormat="1"/>
    <row r="4217" customFormat="1"/>
    <row r="4218" customFormat="1"/>
    <row r="4219" customFormat="1"/>
    <row r="4220" customFormat="1"/>
    <row r="4221" customFormat="1"/>
    <row r="4222" customFormat="1"/>
    <row r="4223" customFormat="1"/>
    <row r="4224" customFormat="1"/>
    <row r="4225" customFormat="1"/>
    <row r="4226" customFormat="1"/>
    <row r="4227" customFormat="1"/>
    <row r="4228" customFormat="1"/>
    <row r="4229" customFormat="1"/>
    <row r="4230" customFormat="1"/>
    <row r="4231" customFormat="1"/>
    <row r="4232" customFormat="1"/>
    <row r="4233" customFormat="1"/>
    <row r="4234" customFormat="1"/>
    <row r="4235" customFormat="1"/>
    <row r="4236" customFormat="1"/>
    <row r="4237" customFormat="1"/>
    <row r="4238" customFormat="1"/>
    <row r="4239" customFormat="1"/>
    <row r="4240" customFormat="1"/>
    <row r="4241" customFormat="1"/>
    <row r="4242" customFormat="1"/>
    <row r="4243" customFormat="1"/>
    <row r="4244" customFormat="1"/>
    <row r="4245" customFormat="1"/>
    <row r="4246" customFormat="1"/>
    <row r="4247" customFormat="1"/>
    <row r="4248" customFormat="1"/>
    <row r="4249" customFormat="1"/>
    <row r="4250" customFormat="1"/>
    <row r="4251" customFormat="1"/>
    <row r="4252" customFormat="1"/>
    <row r="4253" customFormat="1"/>
    <row r="4254" customFormat="1"/>
    <row r="4255" customFormat="1"/>
    <row r="4256" customFormat="1"/>
    <row r="4257" customFormat="1"/>
    <row r="4258" customFormat="1"/>
    <row r="4259" customFormat="1"/>
    <row r="4260" customFormat="1"/>
    <row r="4261" customFormat="1"/>
    <row r="4262" customFormat="1"/>
    <row r="4263" customFormat="1"/>
    <row r="4264" customFormat="1"/>
    <row r="4265" customFormat="1"/>
    <row r="4266" customFormat="1"/>
    <row r="4267" customFormat="1"/>
    <row r="4268" customFormat="1"/>
    <row r="4269" customFormat="1"/>
    <row r="4270" customFormat="1"/>
    <row r="4271" customFormat="1"/>
    <row r="4272" customFormat="1"/>
    <row r="4273" customFormat="1"/>
    <row r="4274" customFormat="1"/>
    <row r="4275" customFormat="1"/>
    <row r="4276" customFormat="1"/>
    <row r="4277" customFormat="1"/>
    <row r="4278" customFormat="1"/>
    <row r="4279" customFormat="1"/>
    <row r="4280" customFormat="1"/>
    <row r="4281" customFormat="1"/>
    <row r="4282" customFormat="1"/>
    <row r="4283" customFormat="1"/>
    <row r="4284" customFormat="1"/>
    <row r="4285" customFormat="1"/>
    <row r="4286" customFormat="1"/>
    <row r="4287" customFormat="1"/>
    <row r="4288" customFormat="1"/>
    <row r="4289" customFormat="1"/>
    <row r="4290" customFormat="1"/>
    <row r="4291" customFormat="1"/>
    <row r="4292" customFormat="1"/>
    <row r="4293" customFormat="1"/>
    <row r="4294" customFormat="1"/>
    <row r="4295" customFormat="1"/>
    <row r="4296" customFormat="1"/>
    <row r="4297" customFormat="1"/>
    <row r="4298" customFormat="1"/>
    <row r="4299" customFormat="1"/>
    <row r="4300" customFormat="1"/>
    <row r="4301" customFormat="1"/>
    <row r="4302" customFormat="1"/>
    <row r="4303" customFormat="1"/>
    <row r="4304" customFormat="1"/>
    <row r="4305" customFormat="1"/>
    <row r="4306" customFormat="1"/>
    <row r="4307" customFormat="1"/>
    <row r="4308" customFormat="1"/>
    <row r="4309" customFormat="1"/>
    <row r="4310" customFormat="1"/>
    <row r="4311" customFormat="1"/>
    <row r="4312" customFormat="1"/>
    <row r="4313" customFormat="1"/>
    <row r="4314" customFormat="1"/>
    <row r="4315" customFormat="1"/>
    <row r="4316" customFormat="1"/>
    <row r="4317" customFormat="1"/>
    <row r="4318" customFormat="1"/>
    <row r="4319" customFormat="1"/>
    <row r="4320" customFormat="1"/>
    <row r="4321" customFormat="1"/>
    <row r="4322" customFormat="1"/>
    <row r="4323" customFormat="1"/>
    <row r="4324" customFormat="1"/>
    <row r="4325" customFormat="1"/>
    <row r="4326" customFormat="1"/>
    <row r="4327" customFormat="1"/>
    <row r="4328" customFormat="1"/>
    <row r="4329" customFormat="1"/>
    <row r="4330" customFormat="1"/>
    <row r="4331" customFormat="1"/>
    <row r="4332" customFormat="1"/>
    <row r="4333" customFormat="1"/>
    <row r="4334" customFormat="1"/>
    <row r="4335" customFormat="1"/>
    <row r="4336" customFormat="1"/>
    <row r="4337" customFormat="1"/>
    <row r="4338" customFormat="1"/>
    <row r="4339" customFormat="1"/>
    <row r="4340" customFormat="1"/>
    <row r="4341" customFormat="1"/>
    <row r="4342" customFormat="1"/>
    <row r="4343" customFormat="1"/>
    <row r="4344" customFormat="1"/>
    <row r="4345" customFormat="1"/>
    <row r="4346" customFormat="1"/>
    <row r="4347" customFormat="1"/>
    <row r="4348" customFormat="1"/>
    <row r="4349" customFormat="1"/>
    <row r="4350" customFormat="1"/>
    <row r="4351" customFormat="1"/>
    <row r="4352" customFormat="1"/>
    <row r="4353" customFormat="1"/>
    <row r="4354" customFormat="1"/>
    <row r="4355" customFormat="1"/>
    <row r="4356" customFormat="1"/>
    <row r="4357" customFormat="1"/>
    <row r="4358" customFormat="1"/>
    <row r="4359" customFormat="1"/>
    <row r="4360" customFormat="1"/>
    <row r="4361" customFormat="1"/>
    <row r="4362" customFormat="1"/>
    <row r="4363" customFormat="1"/>
    <row r="4364" customFormat="1"/>
    <row r="4365" customFormat="1"/>
    <row r="4366" customFormat="1"/>
    <row r="4367" customFormat="1"/>
    <row r="4368" customFormat="1"/>
    <row r="4369" customFormat="1"/>
    <row r="4370" customFormat="1"/>
    <row r="4371" customFormat="1"/>
    <row r="4372" customFormat="1"/>
    <row r="4373" customFormat="1"/>
    <row r="4374" customFormat="1"/>
    <row r="4375" customFormat="1"/>
    <row r="4376" customFormat="1"/>
    <row r="4377" customFormat="1"/>
    <row r="4378" customFormat="1"/>
    <row r="4379" customFormat="1"/>
    <row r="4380" customFormat="1"/>
    <row r="4381" customFormat="1"/>
    <row r="4382" customFormat="1"/>
    <row r="4383" customFormat="1"/>
    <row r="4384" customFormat="1"/>
    <row r="4385" customFormat="1"/>
    <row r="4386" customFormat="1"/>
    <row r="4387" customFormat="1"/>
    <row r="4388" customFormat="1"/>
    <row r="4389" customFormat="1"/>
    <row r="4390" customFormat="1"/>
    <row r="4391" customFormat="1"/>
    <row r="4392" customFormat="1"/>
    <row r="4393" customFormat="1"/>
    <row r="4394" customFormat="1"/>
    <row r="4395" customFormat="1"/>
    <row r="4396" customFormat="1"/>
    <row r="4397" customFormat="1"/>
    <row r="4398" customFormat="1"/>
    <row r="4399" customFormat="1"/>
    <row r="4400" customFormat="1"/>
    <row r="4401" customFormat="1"/>
    <row r="4402" customFormat="1"/>
    <row r="4403" customFormat="1"/>
    <row r="4404" customFormat="1"/>
    <row r="4405" customFormat="1"/>
    <row r="4406" customFormat="1"/>
    <row r="4407" customFormat="1"/>
    <row r="4408" customFormat="1"/>
    <row r="4409" customFormat="1"/>
    <row r="4410" customFormat="1"/>
    <row r="4411" customFormat="1"/>
    <row r="4412" customFormat="1"/>
    <row r="4413" customFormat="1"/>
    <row r="4414" customFormat="1"/>
    <row r="4415" customFormat="1"/>
    <row r="4416" customFormat="1"/>
    <row r="4417" customFormat="1"/>
    <row r="4418" customFormat="1"/>
    <row r="4419" customFormat="1"/>
    <row r="4420" customFormat="1"/>
    <row r="4421" customFormat="1"/>
    <row r="4422" customFormat="1"/>
    <row r="4423" customFormat="1"/>
    <row r="4424" customFormat="1"/>
    <row r="4425" customFormat="1"/>
    <row r="4426" customFormat="1"/>
    <row r="4427" customFormat="1"/>
    <row r="4428" customFormat="1"/>
    <row r="4429" customFormat="1"/>
    <row r="4430" customFormat="1"/>
    <row r="4431" customFormat="1"/>
    <row r="4432" customFormat="1"/>
    <row r="4433" customFormat="1"/>
    <row r="4434" customFormat="1"/>
    <row r="4435" customFormat="1"/>
    <row r="4436" customFormat="1"/>
    <row r="4437" customFormat="1"/>
    <row r="4438" customFormat="1"/>
    <row r="4439" customFormat="1"/>
    <row r="4440" customFormat="1"/>
    <row r="4441" customFormat="1"/>
    <row r="4442" customFormat="1"/>
    <row r="4443" customFormat="1"/>
    <row r="4444" customFormat="1"/>
    <row r="4445" customFormat="1"/>
    <row r="4446" customFormat="1"/>
    <row r="4447" customFormat="1"/>
    <row r="4448" customFormat="1"/>
    <row r="4449" customFormat="1"/>
    <row r="4450" customFormat="1"/>
    <row r="4451" customFormat="1"/>
    <row r="4452" customFormat="1"/>
    <row r="4453" customFormat="1"/>
    <row r="4454" customFormat="1"/>
    <row r="4455" customFormat="1"/>
    <row r="4456" customFormat="1"/>
    <row r="4457" customFormat="1"/>
    <row r="4458" customFormat="1"/>
    <row r="4459" customFormat="1"/>
    <row r="4460" customFormat="1"/>
    <row r="4461" customFormat="1"/>
    <row r="4462" customFormat="1"/>
    <row r="4463" customFormat="1"/>
    <row r="4464" customFormat="1"/>
    <row r="4465" customFormat="1"/>
    <row r="4466" customFormat="1"/>
    <row r="4467" customFormat="1"/>
    <row r="4468" customFormat="1"/>
    <row r="4469" customFormat="1"/>
    <row r="4470" customFormat="1"/>
    <row r="4471" customFormat="1"/>
    <row r="4472" customFormat="1"/>
    <row r="4473" customFormat="1"/>
    <row r="4474" customFormat="1"/>
    <row r="4475" customFormat="1"/>
    <row r="4476" customFormat="1"/>
    <row r="4477" customFormat="1"/>
    <row r="4478" customFormat="1"/>
    <row r="4479" customFormat="1"/>
    <row r="4480" customFormat="1"/>
    <row r="4481" customFormat="1"/>
    <row r="4482" customFormat="1"/>
    <row r="4483" customFormat="1"/>
    <row r="4484" customFormat="1"/>
    <row r="4485" customFormat="1"/>
    <row r="4486" customFormat="1"/>
    <row r="4487" customFormat="1"/>
    <row r="4488" customFormat="1"/>
    <row r="4489" customFormat="1"/>
    <row r="4490" customFormat="1"/>
    <row r="4491" customFormat="1"/>
    <row r="4492" customFormat="1"/>
    <row r="4493" customFormat="1"/>
    <row r="4494" customFormat="1"/>
    <row r="4495" customFormat="1"/>
    <row r="4496" customFormat="1"/>
    <row r="4497" customFormat="1"/>
    <row r="4498" customFormat="1"/>
    <row r="4499" customFormat="1"/>
    <row r="4500" customFormat="1"/>
    <row r="4501" customFormat="1"/>
    <row r="4502" customFormat="1"/>
    <row r="4503" customFormat="1"/>
    <row r="4504" customFormat="1"/>
    <row r="4505" customFormat="1"/>
    <row r="4506" customFormat="1"/>
    <row r="4507" customFormat="1"/>
    <row r="4508" customFormat="1"/>
    <row r="4509" customFormat="1"/>
    <row r="4510" customFormat="1"/>
    <row r="4511" customFormat="1"/>
    <row r="4512" customFormat="1"/>
    <row r="4513" customFormat="1"/>
    <row r="4514" customFormat="1"/>
    <row r="4515" customFormat="1"/>
    <row r="4516" customFormat="1"/>
    <row r="4517" customFormat="1"/>
    <row r="4518" customFormat="1"/>
    <row r="4519" customFormat="1"/>
    <row r="4520" customFormat="1"/>
    <row r="4521" customFormat="1"/>
    <row r="4522" customFormat="1"/>
    <row r="4523" customFormat="1"/>
    <row r="4524" customFormat="1"/>
    <row r="4525" customFormat="1"/>
    <row r="4526" customFormat="1"/>
    <row r="4527" customFormat="1"/>
    <row r="4528" customFormat="1"/>
    <row r="4529" customFormat="1"/>
    <row r="4530" customFormat="1"/>
    <row r="4531" customFormat="1"/>
    <row r="4532" customFormat="1"/>
    <row r="4533" customFormat="1"/>
    <row r="4534" customFormat="1"/>
    <row r="4535" customFormat="1"/>
    <row r="4536" customFormat="1"/>
    <row r="4537" customFormat="1"/>
    <row r="4538" customFormat="1"/>
    <row r="4539" customFormat="1"/>
    <row r="4540" customFormat="1"/>
    <row r="4541" customFormat="1"/>
    <row r="4542" customFormat="1"/>
    <row r="4543" customFormat="1"/>
    <row r="4544" customFormat="1"/>
    <row r="4545" customFormat="1"/>
    <row r="4546" customFormat="1"/>
    <row r="4547" customFormat="1"/>
    <row r="4548" customFormat="1"/>
    <row r="4549" customFormat="1"/>
    <row r="4550" customFormat="1"/>
    <row r="4551" customFormat="1"/>
    <row r="4552" customFormat="1"/>
    <row r="4553" customFormat="1"/>
    <row r="4554" customFormat="1"/>
    <row r="4555" customFormat="1"/>
    <row r="4556" customFormat="1"/>
    <row r="4557" customFormat="1"/>
    <row r="4558" customFormat="1"/>
    <row r="4559" customFormat="1"/>
    <row r="4560" customFormat="1"/>
    <row r="4561" customFormat="1"/>
    <row r="4562" customFormat="1"/>
    <row r="4563" customFormat="1"/>
    <row r="4564" customFormat="1"/>
    <row r="4565" customFormat="1"/>
    <row r="4566" customFormat="1"/>
    <row r="4567" customFormat="1"/>
    <row r="4568" customFormat="1"/>
    <row r="4569" customFormat="1"/>
    <row r="4570" customFormat="1"/>
    <row r="4571" customFormat="1"/>
    <row r="4572" customFormat="1"/>
    <row r="4573" customFormat="1"/>
    <row r="4574" customFormat="1"/>
    <row r="4575" customFormat="1"/>
    <row r="4576" customFormat="1"/>
    <row r="4577" customFormat="1"/>
    <row r="4578" customFormat="1"/>
    <row r="4579" customFormat="1"/>
    <row r="4580" customFormat="1"/>
    <row r="4581" customFormat="1"/>
    <row r="4582" customFormat="1"/>
    <row r="4583" customFormat="1"/>
    <row r="4584" customFormat="1"/>
    <row r="4585" customFormat="1"/>
    <row r="4586" customFormat="1"/>
    <row r="4587" customFormat="1"/>
    <row r="4588" customFormat="1"/>
    <row r="4589" customFormat="1"/>
    <row r="4590" customFormat="1"/>
    <row r="4591" customFormat="1"/>
    <row r="4592" customFormat="1"/>
    <row r="4593" customFormat="1"/>
    <row r="4594" customFormat="1"/>
    <row r="4595" customFormat="1"/>
    <row r="4596" customFormat="1"/>
    <row r="4597" customFormat="1"/>
    <row r="4598" customFormat="1"/>
    <row r="4599" customFormat="1"/>
    <row r="4600" customFormat="1"/>
    <row r="4601" customFormat="1"/>
    <row r="4602" customFormat="1"/>
    <row r="4603" customFormat="1"/>
    <row r="4604" customFormat="1"/>
    <row r="4605" customFormat="1"/>
    <row r="4606" customFormat="1"/>
    <row r="4607" customFormat="1"/>
    <row r="4608" customFormat="1"/>
    <row r="4609" customFormat="1"/>
    <row r="4610" customFormat="1"/>
    <row r="4611" customFormat="1"/>
    <row r="4612" customFormat="1"/>
    <row r="4613" customFormat="1"/>
    <row r="4614" customFormat="1"/>
    <row r="4615" customFormat="1"/>
    <row r="4616" customFormat="1"/>
    <row r="4617" customFormat="1"/>
    <row r="4618" customFormat="1"/>
    <row r="4619" customFormat="1"/>
    <row r="4620" customFormat="1"/>
    <row r="4621" customFormat="1"/>
    <row r="4622" customFormat="1"/>
    <row r="4623" customFormat="1"/>
    <row r="4624" customFormat="1"/>
    <row r="4625" customFormat="1"/>
    <row r="4626" customFormat="1"/>
    <row r="4627" customFormat="1"/>
    <row r="4628" customFormat="1"/>
    <row r="4629" customFormat="1"/>
    <row r="4630" customFormat="1"/>
    <row r="4631" customFormat="1"/>
    <row r="4632" customFormat="1"/>
    <row r="4633" customFormat="1"/>
    <row r="4634" customFormat="1"/>
    <row r="4635" customFormat="1"/>
    <row r="4636" customFormat="1"/>
    <row r="4637" customFormat="1"/>
    <row r="4638" customFormat="1"/>
    <row r="4639" customFormat="1"/>
    <row r="4640" customFormat="1"/>
    <row r="4641" customFormat="1"/>
    <row r="4642" customFormat="1"/>
    <row r="4643" customFormat="1"/>
    <row r="4644" customFormat="1"/>
    <row r="4645" customFormat="1"/>
    <row r="4646" customFormat="1"/>
    <row r="4647" customFormat="1"/>
    <row r="4648" customFormat="1"/>
    <row r="4649" customFormat="1"/>
    <row r="4650" customFormat="1"/>
    <row r="4651" customFormat="1"/>
    <row r="4652" customFormat="1"/>
    <row r="4653" customFormat="1"/>
    <row r="4654" customFormat="1"/>
    <row r="4655" customFormat="1"/>
    <row r="4656" customFormat="1"/>
    <row r="4657" customFormat="1"/>
    <row r="4658" customFormat="1"/>
    <row r="4659" customFormat="1"/>
    <row r="4660" customFormat="1"/>
    <row r="4661" customFormat="1"/>
    <row r="4662" customFormat="1"/>
    <row r="4663" customFormat="1"/>
    <row r="4664" customFormat="1"/>
    <row r="4665" customFormat="1"/>
    <row r="4666" customFormat="1"/>
    <row r="4667" customFormat="1"/>
    <row r="4668" customFormat="1"/>
    <row r="4669" customFormat="1"/>
    <row r="4670" customFormat="1"/>
    <row r="4671" customFormat="1"/>
    <row r="4672" customFormat="1"/>
    <row r="4673" customFormat="1"/>
    <row r="4674" customFormat="1"/>
    <row r="4675" customFormat="1"/>
    <row r="4676" customFormat="1"/>
    <row r="4677" customFormat="1"/>
    <row r="4678" customFormat="1"/>
    <row r="4679" customFormat="1"/>
    <row r="4680" customFormat="1"/>
    <row r="4681" customFormat="1"/>
    <row r="4682" customFormat="1"/>
    <row r="4683" customFormat="1"/>
    <row r="4684" customFormat="1"/>
    <row r="4685" customFormat="1"/>
    <row r="4686" customFormat="1"/>
    <row r="4687" customFormat="1"/>
    <row r="4688" customFormat="1"/>
    <row r="4689" customFormat="1"/>
    <row r="4690" customFormat="1"/>
    <row r="4691" customFormat="1"/>
    <row r="4692" customFormat="1"/>
    <row r="4693" customFormat="1"/>
    <row r="4694" customFormat="1"/>
    <row r="4695" customFormat="1"/>
    <row r="4696" customFormat="1"/>
    <row r="4697" customFormat="1"/>
    <row r="4698" customFormat="1"/>
    <row r="4699" customFormat="1"/>
    <row r="4700" customFormat="1"/>
    <row r="4701" customFormat="1"/>
    <row r="4702" customFormat="1"/>
    <row r="4703" customFormat="1"/>
    <row r="4704" customFormat="1"/>
    <row r="4705" customFormat="1"/>
    <row r="4706" customFormat="1"/>
    <row r="4707" customFormat="1"/>
    <row r="4708" customFormat="1"/>
    <row r="4709" customFormat="1"/>
    <row r="4710" customFormat="1"/>
    <row r="4711" customFormat="1"/>
    <row r="4712" customFormat="1"/>
    <row r="4713" customFormat="1"/>
    <row r="4714" customFormat="1"/>
    <row r="4715" customFormat="1"/>
    <row r="4716" customFormat="1"/>
    <row r="4717" customFormat="1"/>
    <row r="4718" customFormat="1"/>
    <row r="4719" customFormat="1"/>
    <row r="4720" customFormat="1"/>
    <row r="4721" customFormat="1"/>
    <row r="4722" customFormat="1"/>
    <row r="4723" customFormat="1"/>
    <row r="4724" customFormat="1"/>
    <row r="4725" customFormat="1"/>
    <row r="4726" customFormat="1"/>
    <row r="4727" customFormat="1"/>
    <row r="4728" customFormat="1"/>
    <row r="4729" customFormat="1"/>
    <row r="4730" customFormat="1"/>
    <row r="4731" customFormat="1"/>
    <row r="4732" customFormat="1"/>
    <row r="4733" customFormat="1"/>
    <row r="4734" customFormat="1"/>
    <row r="4735" customFormat="1"/>
    <row r="4736" customFormat="1"/>
    <row r="4737" customFormat="1"/>
    <row r="4738" customFormat="1"/>
    <row r="4739" customFormat="1"/>
    <row r="4740" customFormat="1"/>
    <row r="4741" customFormat="1"/>
    <row r="4742" customFormat="1"/>
    <row r="4743" customFormat="1"/>
    <row r="4744" customFormat="1"/>
    <row r="4745" customFormat="1"/>
    <row r="4746" customFormat="1"/>
    <row r="4747" customFormat="1"/>
    <row r="4748" customFormat="1"/>
    <row r="4749" customFormat="1"/>
    <row r="4750" customFormat="1"/>
    <row r="4751" customFormat="1"/>
    <row r="4752" customFormat="1"/>
    <row r="4753" customFormat="1"/>
    <row r="4754" customFormat="1"/>
    <row r="4755" customFormat="1"/>
    <row r="4756" customFormat="1"/>
    <row r="4757" customFormat="1"/>
    <row r="4758" customFormat="1"/>
    <row r="4759" customFormat="1"/>
    <row r="4760" customFormat="1"/>
    <row r="4761" customFormat="1"/>
    <row r="4762" customFormat="1"/>
    <row r="4763" customFormat="1"/>
    <row r="4764" customFormat="1"/>
    <row r="4765" customFormat="1"/>
    <row r="4766" customFormat="1"/>
    <row r="4767" customFormat="1"/>
    <row r="4768" customFormat="1"/>
    <row r="4769" customFormat="1"/>
    <row r="4770" customFormat="1"/>
    <row r="4771" customFormat="1"/>
    <row r="4772" customFormat="1"/>
    <row r="4773" customFormat="1"/>
    <row r="4774" customFormat="1"/>
    <row r="4775" customFormat="1"/>
    <row r="4776" customFormat="1"/>
    <row r="4777" customFormat="1"/>
    <row r="4778" customFormat="1"/>
    <row r="4779" customFormat="1"/>
    <row r="4780" customFormat="1"/>
    <row r="4781" customFormat="1"/>
    <row r="4782" customFormat="1"/>
    <row r="4783" customFormat="1"/>
    <row r="4784" customFormat="1"/>
    <row r="4785" customFormat="1"/>
    <row r="4786" customFormat="1"/>
    <row r="4787" customFormat="1"/>
    <row r="4788" customFormat="1"/>
    <row r="4789" customFormat="1"/>
    <row r="4790" customFormat="1"/>
    <row r="4791" customFormat="1"/>
    <row r="4792" customFormat="1"/>
    <row r="4793" customFormat="1"/>
    <row r="4794" customFormat="1"/>
    <row r="4795" customFormat="1"/>
    <row r="4796" customFormat="1"/>
    <row r="4797" customFormat="1"/>
    <row r="4798" customFormat="1"/>
    <row r="4799" customFormat="1"/>
    <row r="4800" customFormat="1"/>
    <row r="4801" customFormat="1"/>
    <row r="4802" customFormat="1"/>
    <row r="4803" customFormat="1"/>
    <row r="4804" customFormat="1"/>
    <row r="4805" customFormat="1"/>
    <row r="4806" customFormat="1"/>
    <row r="4807" customFormat="1"/>
    <row r="4808" customFormat="1"/>
    <row r="4809" customFormat="1"/>
    <row r="4810" customFormat="1"/>
    <row r="4811" customFormat="1"/>
    <row r="4812" customFormat="1"/>
    <row r="4813" customFormat="1"/>
    <row r="4814" customFormat="1"/>
    <row r="4815" customFormat="1"/>
    <row r="4816" customFormat="1"/>
    <row r="4817" customFormat="1"/>
    <row r="4818" customFormat="1"/>
    <row r="4819" customFormat="1"/>
    <row r="4820" customFormat="1"/>
    <row r="4821" customFormat="1"/>
    <row r="4822" customFormat="1"/>
    <row r="4823" customFormat="1"/>
    <row r="4824" customFormat="1"/>
    <row r="4825" customFormat="1"/>
    <row r="4826" customFormat="1"/>
    <row r="4827" customFormat="1"/>
    <row r="4828" customFormat="1"/>
    <row r="4829" customFormat="1"/>
    <row r="4830" customFormat="1"/>
    <row r="4831" customFormat="1"/>
    <row r="4832" customFormat="1"/>
    <row r="4833" customFormat="1"/>
    <row r="4834" customFormat="1"/>
    <row r="4835" customFormat="1"/>
    <row r="4836" customFormat="1"/>
    <row r="4837" customFormat="1"/>
    <row r="4838" customFormat="1"/>
    <row r="4839" customFormat="1"/>
    <row r="4840" customFormat="1"/>
    <row r="4841" customFormat="1"/>
    <row r="4842" customFormat="1"/>
    <row r="4843" customFormat="1"/>
    <row r="4844" customFormat="1"/>
    <row r="4845" customFormat="1"/>
    <row r="4846" customFormat="1"/>
    <row r="4847" customFormat="1"/>
    <row r="4848" customFormat="1"/>
    <row r="4849" customFormat="1"/>
    <row r="4850" customFormat="1"/>
    <row r="4851" customFormat="1"/>
    <row r="4852" customFormat="1"/>
    <row r="4853" customFormat="1"/>
    <row r="4854" customFormat="1"/>
    <row r="4855" customFormat="1"/>
    <row r="4856" customFormat="1"/>
    <row r="4857" customFormat="1"/>
    <row r="4858" customFormat="1"/>
    <row r="4859" customFormat="1"/>
    <row r="4860" customFormat="1"/>
    <row r="4861" customFormat="1"/>
    <row r="4862" customFormat="1"/>
    <row r="4863" customFormat="1"/>
    <row r="4864" customFormat="1"/>
    <row r="4865" customFormat="1"/>
    <row r="4866" customFormat="1"/>
    <row r="4867" customFormat="1"/>
    <row r="4868" customFormat="1"/>
    <row r="4869" customFormat="1"/>
    <row r="4870" customFormat="1"/>
    <row r="4871" customFormat="1"/>
    <row r="4872" customFormat="1"/>
    <row r="4873" customFormat="1"/>
    <row r="4874" customFormat="1"/>
    <row r="4875" customFormat="1"/>
    <row r="4876" customFormat="1"/>
    <row r="4877" customFormat="1"/>
    <row r="4878" customFormat="1"/>
    <row r="4879" customFormat="1"/>
    <row r="4880" customFormat="1"/>
    <row r="4881" customFormat="1"/>
    <row r="4882" customFormat="1"/>
    <row r="4883" customFormat="1"/>
    <row r="4884" customFormat="1"/>
    <row r="4885" customFormat="1"/>
    <row r="4886" customFormat="1"/>
    <row r="4887" customFormat="1"/>
    <row r="4888" customFormat="1"/>
    <row r="4889" customFormat="1"/>
    <row r="4890" customFormat="1"/>
    <row r="4891" customFormat="1"/>
    <row r="4892" customFormat="1"/>
    <row r="4893" customFormat="1"/>
    <row r="4894" customFormat="1"/>
    <row r="4895" customFormat="1"/>
    <row r="4896" customFormat="1"/>
    <row r="4897" customFormat="1"/>
    <row r="4898" customFormat="1"/>
    <row r="4899" customFormat="1"/>
    <row r="4900" customFormat="1"/>
    <row r="4901" customFormat="1"/>
    <row r="4902" customFormat="1"/>
    <row r="4903" customFormat="1"/>
    <row r="4904" customFormat="1"/>
    <row r="4905" customFormat="1"/>
    <row r="4906" customFormat="1"/>
    <row r="4907" customFormat="1"/>
    <row r="4908" customFormat="1"/>
    <row r="4909" customFormat="1"/>
    <row r="4910" customFormat="1"/>
    <row r="4911" customFormat="1"/>
    <row r="4912" customFormat="1"/>
    <row r="4913" customFormat="1"/>
    <row r="4914" customFormat="1"/>
    <row r="4915" customFormat="1"/>
    <row r="4916" customFormat="1"/>
    <row r="4917" customFormat="1"/>
    <row r="4918" customFormat="1"/>
    <row r="4919" customFormat="1"/>
    <row r="4920" customFormat="1"/>
    <row r="4921" customFormat="1"/>
    <row r="4922" customFormat="1"/>
    <row r="4923" customFormat="1"/>
    <row r="4924" customFormat="1"/>
    <row r="4925" customFormat="1"/>
    <row r="4926" customFormat="1"/>
    <row r="4927" customFormat="1"/>
    <row r="4928" customFormat="1"/>
    <row r="4929" customFormat="1"/>
    <row r="4930" customFormat="1"/>
    <row r="4931" customFormat="1"/>
    <row r="4932" customFormat="1"/>
    <row r="4933" customFormat="1"/>
    <row r="4934" customFormat="1"/>
    <row r="4935" customFormat="1"/>
    <row r="4936" customFormat="1"/>
    <row r="4937" customFormat="1"/>
    <row r="4938" customFormat="1"/>
    <row r="4939" customFormat="1"/>
    <row r="4940" customFormat="1"/>
    <row r="4941" customFormat="1"/>
    <row r="4942" customFormat="1"/>
    <row r="4943" customFormat="1"/>
    <row r="4944" customFormat="1"/>
    <row r="4945" customFormat="1"/>
    <row r="4946" customFormat="1"/>
    <row r="4947" customFormat="1"/>
    <row r="4948" customFormat="1"/>
    <row r="4949" customFormat="1"/>
    <row r="4950" customFormat="1"/>
    <row r="4951" customFormat="1"/>
    <row r="4952" customFormat="1"/>
    <row r="4953" customFormat="1"/>
    <row r="4954" customFormat="1"/>
    <row r="4955" customFormat="1"/>
    <row r="4956" customFormat="1"/>
    <row r="4957" customFormat="1"/>
    <row r="4958" customFormat="1"/>
    <row r="4959" customFormat="1"/>
    <row r="4960" customFormat="1"/>
    <row r="4961" customFormat="1"/>
    <row r="4962" customFormat="1"/>
    <row r="4963" customFormat="1"/>
    <row r="4964" customFormat="1"/>
    <row r="4965" customFormat="1"/>
    <row r="4966" customFormat="1"/>
    <row r="4967" customFormat="1"/>
    <row r="4968" customFormat="1"/>
    <row r="4969" customFormat="1"/>
    <row r="4970" customFormat="1"/>
    <row r="4971" customFormat="1"/>
    <row r="4972" customFormat="1"/>
    <row r="4973" customFormat="1"/>
    <row r="4974" customFormat="1"/>
    <row r="4975" customFormat="1"/>
    <row r="4976" customFormat="1"/>
    <row r="4977" customFormat="1"/>
    <row r="4978" customFormat="1"/>
    <row r="4979" customFormat="1"/>
    <row r="4980" customFormat="1"/>
    <row r="4981" customFormat="1"/>
    <row r="4982" customFormat="1"/>
    <row r="4983" customFormat="1"/>
    <row r="4984" customFormat="1"/>
    <row r="4985" customFormat="1"/>
    <row r="4986" customFormat="1"/>
    <row r="4987" customFormat="1"/>
    <row r="4988" customFormat="1"/>
    <row r="4989" customFormat="1"/>
    <row r="4990" customFormat="1"/>
    <row r="4991" customFormat="1"/>
    <row r="4992" customFormat="1"/>
    <row r="4993" customFormat="1"/>
    <row r="4994" customFormat="1"/>
    <row r="4995" customFormat="1"/>
    <row r="4996" customFormat="1"/>
    <row r="4997" customFormat="1"/>
    <row r="4998" customFormat="1"/>
    <row r="4999" customFormat="1"/>
    <row r="5000" customFormat="1"/>
    <row r="5001" customFormat="1"/>
    <row r="5002" customFormat="1"/>
    <row r="5003" customFormat="1"/>
    <row r="5004" customFormat="1"/>
    <row r="5005" customFormat="1"/>
    <row r="5006" customFormat="1"/>
    <row r="5007" customFormat="1"/>
    <row r="5008" customFormat="1"/>
    <row r="5009" customFormat="1"/>
    <row r="5010" customFormat="1"/>
    <row r="5011" customFormat="1"/>
    <row r="5012" customFormat="1"/>
    <row r="5013" customFormat="1"/>
    <row r="5014" customFormat="1"/>
    <row r="5015" customFormat="1"/>
    <row r="5016" customFormat="1"/>
    <row r="5017" customFormat="1"/>
    <row r="5018" customFormat="1"/>
    <row r="5019" customFormat="1"/>
    <row r="5020" customFormat="1"/>
    <row r="5021" customFormat="1"/>
    <row r="5022" customFormat="1"/>
    <row r="5023" customFormat="1"/>
    <row r="5024" customFormat="1"/>
    <row r="5025" customFormat="1"/>
    <row r="5026" customFormat="1"/>
    <row r="5027" customFormat="1"/>
    <row r="5028" customFormat="1"/>
    <row r="5029" customFormat="1"/>
    <row r="5030" customFormat="1"/>
    <row r="5031" customFormat="1"/>
    <row r="5032" customFormat="1"/>
    <row r="5033" customFormat="1"/>
    <row r="5034" customFormat="1"/>
    <row r="5035" customFormat="1"/>
    <row r="5036" customFormat="1"/>
    <row r="5037" customFormat="1"/>
    <row r="5038" customFormat="1"/>
    <row r="5039" customFormat="1"/>
    <row r="5040" customFormat="1"/>
    <row r="5041" customFormat="1"/>
    <row r="5042" customFormat="1"/>
    <row r="5043" customFormat="1"/>
    <row r="5044" customFormat="1"/>
    <row r="5045" customFormat="1"/>
    <row r="5046" customFormat="1"/>
    <row r="5047" customFormat="1"/>
    <row r="5048" customFormat="1"/>
    <row r="5049" customFormat="1"/>
    <row r="5050" customFormat="1"/>
    <row r="5051" customFormat="1"/>
    <row r="5052" customFormat="1"/>
    <row r="5053" customFormat="1"/>
    <row r="5054" customFormat="1"/>
    <row r="5055" customFormat="1"/>
    <row r="5056" customFormat="1"/>
    <row r="5057" customFormat="1"/>
    <row r="5058" customFormat="1"/>
    <row r="5059" customFormat="1"/>
    <row r="5060" customFormat="1"/>
    <row r="5061" customFormat="1"/>
    <row r="5062" customFormat="1"/>
    <row r="5063" customFormat="1"/>
    <row r="5064" customFormat="1"/>
    <row r="5065" customFormat="1"/>
    <row r="5066" customFormat="1"/>
    <row r="5067" customFormat="1"/>
    <row r="5068" customFormat="1"/>
    <row r="5069" customFormat="1"/>
    <row r="5070" customFormat="1"/>
    <row r="5071" customFormat="1"/>
    <row r="5072" customFormat="1"/>
    <row r="5073" customFormat="1"/>
    <row r="5074" customFormat="1"/>
    <row r="5075" customFormat="1"/>
    <row r="5076" customFormat="1"/>
    <row r="5077" customFormat="1"/>
    <row r="5078" customFormat="1"/>
    <row r="5079" customFormat="1"/>
    <row r="5080" customFormat="1"/>
    <row r="5081" customFormat="1"/>
    <row r="5082" customFormat="1"/>
    <row r="5083" customFormat="1"/>
    <row r="5084" customFormat="1"/>
    <row r="5085" customFormat="1"/>
    <row r="5086" customFormat="1"/>
    <row r="5087" customFormat="1"/>
    <row r="5088" customFormat="1"/>
    <row r="5089" customFormat="1"/>
    <row r="5090" customFormat="1"/>
    <row r="5091" customFormat="1"/>
    <row r="5092" customFormat="1"/>
    <row r="5093" customFormat="1"/>
    <row r="5094" customFormat="1"/>
    <row r="5095" customFormat="1"/>
    <row r="5096" customFormat="1"/>
    <row r="5097" customFormat="1"/>
    <row r="5098" customFormat="1"/>
    <row r="5099" customFormat="1"/>
    <row r="5100" customFormat="1"/>
    <row r="5101" customFormat="1"/>
    <row r="5102" customFormat="1"/>
    <row r="5103" customFormat="1"/>
    <row r="5104" customFormat="1"/>
    <row r="5105" customFormat="1"/>
    <row r="5106" customFormat="1"/>
    <row r="5107" customFormat="1"/>
    <row r="5108" customFormat="1"/>
    <row r="5109" customFormat="1"/>
    <row r="5110" customFormat="1"/>
    <row r="5111" customFormat="1"/>
    <row r="5112" customFormat="1"/>
    <row r="5113" customFormat="1"/>
    <row r="5114" customFormat="1"/>
    <row r="5115" customFormat="1"/>
    <row r="5116" customFormat="1"/>
    <row r="5117" customFormat="1"/>
    <row r="5118" customFormat="1"/>
    <row r="5119" customFormat="1"/>
    <row r="5120" customFormat="1"/>
    <row r="5121" customFormat="1"/>
    <row r="5122" customFormat="1"/>
    <row r="5123" customFormat="1"/>
    <row r="5124" customFormat="1"/>
    <row r="5125" customFormat="1"/>
    <row r="5126" customFormat="1"/>
    <row r="5127" customFormat="1"/>
    <row r="5128" customFormat="1"/>
    <row r="5129" customFormat="1"/>
    <row r="5130" customFormat="1"/>
    <row r="5131" customFormat="1"/>
    <row r="5132" customFormat="1"/>
    <row r="5133" customFormat="1"/>
    <row r="5134" customFormat="1"/>
    <row r="5135" customFormat="1"/>
    <row r="5136" customFormat="1"/>
    <row r="5137" customFormat="1"/>
    <row r="5138" customFormat="1"/>
    <row r="5139" customFormat="1"/>
    <row r="5140" customFormat="1"/>
    <row r="5141" customFormat="1"/>
    <row r="5142" customFormat="1"/>
    <row r="5143" customFormat="1"/>
    <row r="5144" customFormat="1"/>
    <row r="5145" customFormat="1"/>
    <row r="5146" customFormat="1"/>
    <row r="5147" customFormat="1"/>
    <row r="5148" customFormat="1"/>
    <row r="5149" customFormat="1"/>
    <row r="5150" customFormat="1"/>
    <row r="5151" customFormat="1"/>
    <row r="5152" customFormat="1"/>
    <row r="5153" customFormat="1"/>
    <row r="5154" customFormat="1"/>
    <row r="5155" customFormat="1"/>
    <row r="5156" customFormat="1"/>
    <row r="5157" customFormat="1"/>
    <row r="5158" customFormat="1"/>
    <row r="5159" customFormat="1"/>
    <row r="5160" customFormat="1"/>
    <row r="5161" customFormat="1"/>
    <row r="5162" customFormat="1"/>
    <row r="5163" customFormat="1"/>
    <row r="5164" customFormat="1"/>
    <row r="5165" customFormat="1"/>
    <row r="5166" customFormat="1"/>
    <row r="5167" customFormat="1"/>
    <row r="5168" customFormat="1"/>
    <row r="5169" customFormat="1"/>
    <row r="5170" customFormat="1"/>
    <row r="5171" customFormat="1"/>
    <row r="5172" customFormat="1"/>
    <row r="5173" customFormat="1"/>
    <row r="5174" customFormat="1"/>
    <row r="5175" customFormat="1"/>
    <row r="5176" customFormat="1"/>
    <row r="5177" customFormat="1"/>
    <row r="5178" customFormat="1"/>
    <row r="5179" customFormat="1"/>
    <row r="5180" customFormat="1"/>
    <row r="5181" customFormat="1"/>
    <row r="5182" customFormat="1"/>
    <row r="5183" customFormat="1"/>
    <row r="5184" customFormat="1"/>
    <row r="5185" customFormat="1"/>
    <row r="5186" customFormat="1"/>
    <row r="5187" customFormat="1"/>
    <row r="5188" customFormat="1"/>
    <row r="5189" customFormat="1"/>
    <row r="5190" customFormat="1"/>
    <row r="5191" customFormat="1"/>
    <row r="5192" customFormat="1"/>
    <row r="5193" customFormat="1"/>
    <row r="5194" customFormat="1"/>
    <row r="5195" customFormat="1"/>
    <row r="5196" customFormat="1"/>
    <row r="5197" customFormat="1"/>
    <row r="5198" customFormat="1"/>
    <row r="5199" customFormat="1"/>
    <row r="5200" customFormat="1"/>
    <row r="5201" customFormat="1"/>
    <row r="5202" customFormat="1"/>
    <row r="5203" customFormat="1"/>
    <row r="5204" customFormat="1"/>
    <row r="5205" customFormat="1"/>
    <row r="5206" customFormat="1"/>
    <row r="5207" customFormat="1"/>
    <row r="5208" customFormat="1"/>
    <row r="5209" customFormat="1"/>
    <row r="5210" customFormat="1"/>
    <row r="5211" customFormat="1"/>
    <row r="5212" customFormat="1"/>
    <row r="5213" customFormat="1"/>
    <row r="5214" customFormat="1"/>
    <row r="5215" customFormat="1"/>
    <row r="5216" customFormat="1"/>
    <row r="5217" customFormat="1"/>
    <row r="5218" customFormat="1"/>
    <row r="5219" customFormat="1"/>
    <row r="5220" customFormat="1"/>
    <row r="5221" customFormat="1"/>
    <row r="5222" customFormat="1"/>
    <row r="5223" customFormat="1"/>
    <row r="5224" customFormat="1"/>
    <row r="5225" customFormat="1"/>
    <row r="5226" customFormat="1"/>
    <row r="5227" customFormat="1"/>
    <row r="5228" customFormat="1"/>
    <row r="5229" customFormat="1"/>
    <row r="5230" customFormat="1"/>
    <row r="5231" customFormat="1"/>
    <row r="5232" customFormat="1"/>
    <row r="5233" customFormat="1"/>
    <row r="5234" customFormat="1"/>
    <row r="5235" customFormat="1"/>
    <row r="5236" customFormat="1"/>
    <row r="5237" customFormat="1"/>
    <row r="5238" customFormat="1"/>
    <row r="5239" customFormat="1"/>
    <row r="5240" customFormat="1"/>
    <row r="5241" customFormat="1"/>
    <row r="5242" customFormat="1"/>
    <row r="5243" customFormat="1"/>
    <row r="5244" customFormat="1"/>
    <row r="5245" customFormat="1"/>
    <row r="5246" customFormat="1"/>
    <row r="5247" customFormat="1"/>
    <row r="5248" customFormat="1"/>
    <row r="5249" customFormat="1"/>
    <row r="5250" customFormat="1"/>
  </sheetData>
  <conditionalFormatting sqref="M1:M91 M5251:M1048576">
    <cfRule type="iconSet" priority="1">
      <iconSet iconSet="3Symbols">
        <cfvo type="percent" val="0"/>
        <cfvo type="percent" val="33"/>
        <cfvo type="percent" val="67"/>
      </iconSet>
    </cfRule>
  </conditionalFormatting>
  <conditionalFormatting sqref="P1">
    <cfRule type="top10" dxfId="21" priority="5" rank="10"/>
  </conditionalFormatting>
  <conditionalFormatting sqref="P1:P91 P5251:P1048576">
    <cfRule type="expression" dxfId="20" priority="2">
      <formula>AND($Q2&gt;25000, $N2&gt;5%)</formula>
    </cfRule>
    <cfRule type="top10" dxfId="19" priority="4" rank="10"/>
  </conditionalFormatting>
  <dataValidations count="4">
    <dataValidation type="list" allowBlank="1" showInputMessage="1" showErrorMessage="1" sqref="T1">
      <formula1>"Product_Categories"</formula1>
    </dataValidation>
    <dataValidation type="list" allowBlank="1" showInputMessage="1" showErrorMessage="1" sqref="U2:U5">
      <formula1>"South, West, East, North"</formula1>
    </dataValidation>
    <dataValidation type="list" allowBlank="1" showInputMessage="1" showErrorMessage="1" sqref="T2:T91">
      <formula1>"Monitor, Headphones, Smartphone, Laptop, Printer"</formula1>
    </dataValidation>
    <dataValidation type="list" allowBlank="1" showInputMessage="1" showErrorMessage="1" sqref="E2:E91">
      <formula1>INDIRECT(T2)</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E7"/>
  <sheetViews>
    <sheetView workbookViewId="0">
      <selection activeCell="J37" sqref="J37"/>
    </sheetView>
  </sheetViews>
  <sheetFormatPr defaultRowHeight="15"/>
  <cols>
    <col min="1" max="1" width="12.140625" bestFit="1" customWidth="1"/>
    <col min="2" max="2" width="11.28515625" bestFit="1" customWidth="1"/>
    <col min="3" max="3" width="9.28515625" bestFit="1" customWidth="1"/>
    <col min="4" max="5" width="8.7109375" bestFit="1" customWidth="1"/>
  </cols>
  <sheetData>
    <row r="1" spans="1:5">
      <c r="A1" s="12" t="s">
        <v>4</v>
      </c>
      <c r="B1" s="12" t="s">
        <v>112</v>
      </c>
      <c r="C1" s="12" t="s">
        <v>6</v>
      </c>
      <c r="D1" s="12" t="s">
        <v>111</v>
      </c>
      <c r="E1" s="12" t="s">
        <v>110</v>
      </c>
    </row>
    <row r="2" spans="1:5">
      <c r="A2" s="15" t="s">
        <v>45</v>
      </c>
      <c r="B2" s="15" t="s">
        <v>108</v>
      </c>
      <c r="C2" s="15">
        <v>1299</v>
      </c>
      <c r="D2" s="15">
        <v>469</v>
      </c>
      <c r="E2" s="13">
        <v>0.22</v>
      </c>
    </row>
    <row r="3" spans="1:5">
      <c r="A3" s="16" t="s">
        <v>41</v>
      </c>
      <c r="B3" s="16" t="s">
        <v>108</v>
      </c>
      <c r="C3" s="16">
        <v>1613</v>
      </c>
      <c r="D3" s="16">
        <v>492</v>
      </c>
      <c r="E3" s="13">
        <v>0.14000000000000001</v>
      </c>
    </row>
    <row r="4" spans="1:5">
      <c r="A4" s="16" t="s">
        <v>44</v>
      </c>
      <c r="B4" s="16" t="s">
        <v>108</v>
      </c>
      <c r="C4" s="16">
        <v>1402</v>
      </c>
      <c r="D4" s="16">
        <v>97</v>
      </c>
      <c r="E4" s="13">
        <v>0.08</v>
      </c>
    </row>
    <row r="5" spans="1:5">
      <c r="A5" s="16" t="s">
        <v>42</v>
      </c>
      <c r="B5" s="16" t="s">
        <v>109</v>
      </c>
      <c r="C5" s="16">
        <v>106</v>
      </c>
      <c r="D5" s="16">
        <v>323</v>
      </c>
      <c r="E5" s="13">
        <v>0.1</v>
      </c>
    </row>
    <row r="6" spans="1:5">
      <c r="A6" s="16" t="s">
        <v>43</v>
      </c>
      <c r="B6" s="16" t="s">
        <v>108</v>
      </c>
      <c r="C6" s="16">
        <v>396</v>
      </c>
      <c r="D6" s="16">
        <v>463</v>
      </c>
      <c r="E6" s="13">
        <v>0.23</v>
      </c>
    </row>
    <row r="7" spans="1:5">
      <c r="A7" s="17" t="s">
        <v>46</v>
      </c>
      <c r="B7" s="17" t="s">
        <v>107</v>
      </c>
      <c r="C7" s="17">
        <v>1635</v>
      </c>
      <c r="D7" s="17">
        <v>136</v>
      </c>
      <c r="E7" s="14">
        <v>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9"/>
  <sheetViews>
    <sheetView zoomScale="91" zoomScaleNormal="100" workbookViewId="0">
      <selection activeCell="H29" sqref="A1:H29"/>
    </sheetView>
  </sheetViews>
  <sheetFormatPr defaultRowHeight="15"/>
  <cols>
    <col min="1" max="1" width="11.42578125" bestFit="1" customWidth="1"/>
    <col min="2" max="2" width="10.140625" bestFit="1" customWidth="1"/>
    <col min="3" max="3" width="9.7109375" bestFit="1" customWidth="1"/>
    <col min="4" max="4" width="30.42578125" bestFit="1" customWidth="1"/>
    <col min="5" max="5" width="7.140625" bestFit="1" customWidth="1"/>
    <col min="6" max="6" width="19.5703125" bestFit="1" customWidth="1"/>
    <col min="7" max="7" width="19.140625" bestFit="1" customWidth="1"/>
    <col min="8" max="8" width="22.28515625" bestFit="1" customWidth="1"/>
    <col min="10" max="10" width="12" bestFit="1" customWidth="1"/>
    <col min="12" max="12" width="9.28515625" bestFit="1" customWidth="1"/>
    <col min="14" max="16" width="9.28515625" bestFit="1" customWidth="1"/>
    <col min="20" max="22" width="9.28515625" bestFit="1" customWidth="1"/>
  </cols>
  <sheetData>
    <row r="1" spans="1:8">
      <c r="A1" s="31" t="s">
        <v>3</v>
      </c>
      <c r="B1" s="31" t="s">
        <v>162</v>
      </c>
      <c r="C1" s="31" t="s">
        <v>161</v>
      </c>
      <c r="D1" s="31" t="s">
        <v>160</v>
      </c>
      <c r="E1" s="31" t="s">
        <v>2</v>
      </c>
      <c r="F1" s="31" t="s">
        <v>163</v>
      </c>
      <c r="G1" s="31" t="s">
        <v>164</v>
      </c>
      <c r="H1" s="31" t="s">
        <v>165</v>
      </c>
    </row>
    <row r="2" spans="1:8">
      <c r="A2" s="29">
        <v>1001</v>
      </c>
      <c r="B2" s="29" t="s">
        <v>143</v>
      </c>
      <c r="C2" s="29" t="s">
        <v>159</v>
      </c>
      <c r="D2" s="29" t="s">
        <v>158</v>
      </c>
      <c r="E2" s="29" t="s">
        <v>39</v>
      </c>
      <c r="F2" s="29" t="str">
        <f>LEFT(D2, FIND(".", D2) - 1)</f>
        <v>naledi</v>
      </c>
      <c r="G2" s="29" t="str">
        <f>MID(D2, FIND(".", D2) + 1, FIND("@", D2) - FIND(".", D2) - 1)</f>
        <v>pillay</v>
      </c>
      <c r="H2" s="29" t="str">
        <f>RIGHT(D2, LEN(D2) - FIND("@", D2))</f>
        <v>example.com</v>
      </c>
    </row>
    <row r="3" spans="1:8">
      <c r="A3" s="32">
        <v>1002</v>
      </c>
      <c r="B3" s="32" t="s">
        <v>121</v>
      </c>
      <c r="C3" s="32" t="s">
        <v>127</v>
      </c>
      <c r="D3" s="32" t="s">
        <v>157</v>
      </c>
      <c r="E3" s="32" t="s">
        <v>39</v>
      </c>
      <c r="F3" s="32" t="str">
        <f t="shared" ref="F3:F29" si="0">LEFT(D3, FIND(".", D3) - 1)</f>
        <v>michael</v>
      </c>
      <c r="G3" s="32" t="str">
        <f t="shared" ref="G3:G29" si="1">MID(D3, FIND(".", D3) + 1, FIND("@", D3) - FIND(".", D3) - 1)</f>
        <v>van wyk</v>
      </c>
      <c r="H3" s="32" t="str">
        <f t="shared" ref="H3:H29" si="2">RIGHT(D3, LEN(D3) - FIND("@", D3))</f>
        <v>example.com</v>
      </c>
    </row>
    <row r="4" spans="1:8">
      <c r="A4" s="30">
        <v>1003</v>
      </c>
      <c r="B4" s="30" t="s">
        <v>143</v>
      </c>
      <c r="C4" s="30" t="s">
        <v>137</v>
      </c>
      <c r="D4" s="30" t="s">
        <v>156</v>
      </c>
      <c r="E4" s="30" t="s">
        <v>39</v>
      </c>
      <c r="F4" s="30" t="str">
        <f t="shared" si="0"/>
        <v>naledi</v>
      </c>
      <c r="G4" s="30" t="str">
        <f t="shared" si="1"/>
        <v>botha</v>
      </c>
      <c r="H4" s="30" t="str">
        <f t="shared" si="2"/>
        <v>example.com</v>
      </c>
    </row>
    <row r="5" spans="1:8">
      <c r="A5" s="32">
        <v>1004</v>
      </c>
      <c r="B5" s="32" t="s">
        <v>143</v>
      </c>
      <c r="C5" s="32" t="s">
        <v>137</v>
      </c>
      <c r="D5" s="32" t="s">
        <v>156</v>
      </c>
      <c r="E5" s="32" t="s">
        <v>40</v>
      </c>
      <c r="F5" s="32" t="str">
        <f t="shared" si="0"/>
        <v>naledi</v>
      </c>
      <c r="G5" s="32" t="str">
        <f t="shared" si="1"/>
        <v>botha</v>
      </c>
      <c r="H5" s="32" t="str">
        <f t="shared" si="2"/>
        <v>example.com</v>
      </c>
    </row>
    <row r="6" spans="1:8">
      <c r="A6" s="30">
        <v>1005</v>
      </c>
      <c r="B6" s="30" t="s">
        <v>121</v>
      </c>
      <c r="C6" s="30" t="s">
        <v>151</v>
      </c>
      <c r="D6" s="30" t="s">
        <v>155</v>
      </c>
      <c r="E6" s="30" t="s">
        <v>40</v>
      </c>
      <c r="F6" s="30" t="str">
        <f t="shared" si="0"/>
        <v>michael</v>
      </c>
      <c r="G6" s="30" t="str">
        <f t="shared" si="1"/>
        <v>johnson</v>
      </c>
      <c r="H6" s="30" t="str">
        <f t="shared" si="2"/>
        <v>example.com</v>
      </c>
    </row>
    <row r="7" spans="1:8">
      <c r="A7" s="32">
        <v>1006</v>
      </c>
      <c r="B7" s="32" t="s">
        <v>154</v>
      </c>
      <c r="C7" s="32" t="s">
        <v>151</v>
      </c>
      <c r="D7" s="32" t="s">
        <v>153</v>
      </c>
      <c r="E7" s="32" t="s">
        <v>37</v>
      </c>
      <c r="F7" s="32" t="str">
        <f t="shared" si="0"/>
        <v>emily</v>
      </c>
      <c r="G7" s="32" t="str">
        <f t="shared" si="1"/>
        <v>johnson</v>
      </c>
      <c r="H7" s="32" t="str">
        <f t="shared" si="2"/>
        <v>example.com</v>
      </c>
    </row>
    <row r="8" spans="1:8">
      <c r="A8" s="30">
        <v>1007</v>
      </c>
      <c r="B8" s="30" t="s">
        <v>121</v>
      </c>
      <c r="C8" s="30" t="s">
        <v>142</v>
      </c>
      <c r="D8" s="30" t="s">
        <v>152</v>
      </c>
      <c r="E8" s="30" t="s">
        <v>38</v>
      </c>
      <c r="F8" s="30" t="str">
        <f t="shared" si="0"/>
        <v>michael</v>
      </c>
      <c r="G8" s="30" t="str">
        <f t="shared" si="1"/>
        <v>nguyen</v>
      </c>
      <c r="H8" s="30" t="str">
        <f t="shared" si="2"/>
        <v>example.com</v>
      </c>
    </row>
    <row r="9" spans="1:8">
      <c r="A9" s="32">
        <v>1008</v>
      </c>
      <c r="B9" s="32" t="s">
        <v>135</v>
      </c>
      <c r="C9" s="32" t="s">
        <v>151</v>
      </c>
      <c r="D9" s="32" t="s">
        <v>150</v>
      </c>
      <c r="E9" s="32" t="s">
        <v>39</v>
      </c>
      <c r="F9" s="32" t="str">
        <f t="shared" si="0"/>
        <v>sipho</v>
      </c>
      <c r="G9" s="32" t="str">
        <f t="shared" si="1"/>
        <v>johnson</v>
      </c>
      <c r="H9" s="32" t="str">
        <f t="shared" si="2"/>
        <v>example.com</v>
      </c>
    </row>
    <row r="10" spans="1:8">
      <c r="A10" s="30">
        <v>1009</v>
      </c>
      <c r="B10" s="30" t="s">
        <v>149</v>
      </c>
      <c r="C10" s="30" t="s">
        <v>142</v>
      </c>
      <c r="D10" s="30" t="s">
        <v>148</v>
      </c>
      <c r="E10" s="30" t="s">
        <v>40</v>
      </c>
      <c r="F10" s="30" t="str">
        <f t="shared" si="0"/>
        <v>sarah</v>
      </c>
      <c r="G10" s="30" t="str">
        <f t="shared" si="1"/>
        <v>nguyen</v>
      </c>
      <c r="H10" s="30" t="str">
        <f t="shared" si="2"/>
        <v>example.com</v>
      </c>
    </row>
    <row r="11" spans="1:8">
      <c r="A11" s="32">
        <v>1010</v>
      </c>
      <c r="B11" s="32" t="s">
        <v>123</v>
      </c>
      <c r="C11" s="32" t="s">
        <v>130</v>
      </c>
      <c r="D11" s="32" t="s">
        <v>147</v>
      </c>
      <c r="E11" s="32" t="s">
        <v>39</v>
      </c>
      <c r="F11" s="32" t="str">
        <f t="shared" si="0"/>
        <v>john</v>
      </c>
      <c r="G11" s="32" t="str">
        <f t="shared" si="1"/>
        <v>brown</v>
      </c>
      <c r="H11" s="32" t="str">
        <f t="shared" si="2"/>
        <v>example.com</v>
      </c>
    </row>
    <row r="12" spans="1:8">
      <c r="A12" s="30">
        <v>1011</v>
      </c>
      <c r="B12" s="30" t="s">
        <v>123</v>
      </c>
      <c r="C12" s="30" t="s">
        <v>125</v>
      </c>
      <c r="D12" s="30" t="s">
        <v>124</v>
      </c>
      <c r="E12" s="30" t="s">
        <v>37</v>
      </c>
      <c r="F12" s="30" t="str">
        <f t="shared" si="0"/>
        <v>john</v>
      </c>
      <c r="G12" s="30" t="str">
        <f t="shared" si="1"/>
        <v>smith</v>
      </c>
      <c r="H12" s="30" t="str">
        <f t="shared" si="2"/>
        <v>example.com</v>
      </c>
    </row>
    <row r="13" spans="1:8">
      <c r="A13" s="32">
        <v>1012</v>
      </c>
      <c r="B13" s="32" t="s">
        <v>143</v>
      </c>
      <c r="C13" s="32" t="s">
        <v>127</v>
      </c>
      <c r="D13" s="32" t="s">
        <v>146</v>
      </c>
      <c r="E13" s="32" t="s">
        <v>39</v>
      </c>
      <c r="F13" s="32" t="str">
        <f t="shared" si="0"/>
        <v>naledi</v>
      </c>
      <c r="G13" s="32" t="str">
        <f t="shared" si="1"/>
        <v>van wyk</v>
      </c>
      <c r="H13" s="32" t="str">
        <f t="shared" si="2"/>
        <v>example.com</v>
      </c>
    </row>
    <row r="14" spans="1:8">
      <c r="A14" s="30">
        <v>1013</v>
      </c>
      <c r="B14" s="30" t="s">
        <v>135</v>
      </c>
      <c r="C14" s="30" t="s">
        <v>127</v>
      </c>
      <c r="D14" s="30" t="s">
        <v>134</v>
      </c>
      <c r="E14" s="30" t="s">
        <v>37</v>
      </c>
      <c r="F14" s="30" t="str">
        <f t="shared" si="0"/>
        <v>sipho</v>
      </c>
      <c r="G14" s="30" t="str">
        <f t="shared" si="1"/>
        <v>van wyk</v>
      </c>
      <c r="H14" s="30" t="str">
        <f t="shared" si="2"/>
        <v>example.com</v>
      </c>
    </row>
    <row r="15" spans="1:8">
      <c r="A15" s="33">
        <v>1014</v>
      </c>
      <c r="B15" s="34" t="s">
        <v>123</v>
      </c>
      <c r="C15" s="34" t="s">
        <v>120</v>
      </c>
      <c r="D15" s="34" t="s">
        <v>122</v>
      </c>
      <c r="E15" s="34" t="s">
        <v>39</v>
      </c>
      <c r="F15" s="34" t="str">
        <f t="shared" si="0"/>
        <v>john</v>
      </c>
      <c r="G15" s="34" t="str">
        <f t="shared" si="1"/>
        <v>mlambo</v>
      </c>
      <c r="H15" s="34" t="str">
        <f t="shared" si="2"/>
        <v>example.com</v>
      </c>
    </row>
    <row r="16" spans="1:8">
      <c r="A16" s="3">
        <v>1015</v>
      </c>
      <c r="B16" s="5" t="s">
        <v>123</v>
      </c>
      <c r="C16" s="5" t="s">
        <v>125</v>
      </c>
      <c r="D16" s="5" t="s">
        <v>124</v>
      </c>
      <c r="E16" s="5" t="s">
        <v>37</v>
      </c>
      <c r="F16" s="5" t="str">
        <f t="shared" si="0"/>
        <v>john</v>
      </c>
      <c r="G16" s="5" t="str">
        <f t="shared" si="1"/>
        <v>smith</v>
      </c>
      <c r="H16" s="5" t="str">
        <f t="shared" si="2"/>
        <v>example.com</v>
      </c>
    </row>
    <row r="17" spans="1:8">
      <c r="A17" s="32">
        <v>1016</v>
      </c>
      <c r="B17" s="32" t="s">
        <v>135</v>
      </c>
      <c r="C17" s="32" t="s">
        <v>142</v>
      </c>
      <c r="D17" s="32" t="s">
        <v>145</v>
      </c>
      <c r="E17" s="32" t="s">
        <v>38</v>
      </c>
      <c r="F17" s="32" t="str">
        <f t="shared" si="0"/>
        <v>sipho</v>
      </c>
      <c r="G17" s="32" t="str">
        <f t="shared" si="1"/>
        <v>nguyen</v>
      </c>
      <c r="H17" s="32" t="str">
        <f t="shared" si="2"/>
        <v>example.com</v>
      </c>
    </row>
    <row r="18" spans="1:8">
      <c r="A18" s="30">
        <v>1017</v>
      </c>
      <c r="B18" s="30" t="s">
        <v>135</v>
      </c>
      <c r="C18" s="30" t="s">
        <v>125</v>
      </c>
      <c r="D18" s="30" t="s">
        <v>144</v>
      </c>
      <c r="E18" s="30" t="s">
        <v>40</v>
      </c>
      <c r="F18" s="30" t="str">
        <f t="shared" si="0"/>
        <v>sipho</v>
      </c>
      <c r="G18" s="30" t="str">
        <f t="shared" si="1"/>
        <v>smith</v>
      </c>
      <c r="H18" s="30" t="str">
        <f t="shared" si="2"/>
        <v>example.com</v>
      </c>
    </row>
    <row r="19" spans="1:8">
      <c r="A19" s="33">
        <v>1018</v>
      </c>
      <c r="B19" s="34" t="s">
        <v>121</v>
      </c>
      <c r="C19" s="34" t="s">
        <v>120</v>
      </c>
      <c r="D19" s="34" t="s">
        <v>119</v>
      </c>
      <c r="E19" s="34" t="s">
        <v>37</v>
      </c>
      <c r="F19" s="34" t="str">
        <f t="shared" si="0"/>
        <v>michael</v>
      </c>
      <c r="G19" s="34" t="str">
        <f t="shared" si="1"/>
        <v>mlambo</v>
      </c>
      <c r="H19" s="34" t="str">
        <f t="shared" si="2"/>
        <v>example.com</v>
      </c>
    </row>
    <row r="20" spans="1:8">
      <c r="A20" s="30">
        <v>1019</v>
      </c>
      <c r="B20" s="30" t="s">
        <v>143</v>
      </c>
      <c r="C20" s="30" t="s">
        <v>142</v>
      </c>
      <c r="D20" s="30" t="s">
        <v>141</v>
      </c>
      <c r="E20" s="30" t="s">
        <v>40</v>
      </c>
      <c r="F20" s="30" t="str">
        <f t="shared" si="0"/>
        <v>naledi</v>
      </c>
      <c r="G20" s="30" t="str">
        <f t="shared" si="1"/>
        <v>nguyen</v>
      </c>
      <c r="H20" s="30" t="str">
        <f t="shared" si="2"/>
        <v>example.com</v>
      </c>
    </row>
    <row r="21" spans="1:8">
      <c r="A21" s="32">
        <v>1020</v>
      </c>
      <c r="B21" s="32" t="s">
        <v>140</v>
      </c>
      <c r="C21" s="32" t="s">
        <v>127</v>
      </c>
      <c r="D21" s="32" t="s">
        <v>139</v>
      </c>
      <c r="E21" s="32" t="s">
        <v>38</v>
      </c>
      <c r="F21" s="32" t="str">
        <f t="shared" si="0"/>
        <v>david</v>
      </c>
      <c r="G21" s="32" t="str">
        <f t="shared" si="1"/>
        <v>van wyk</v>
      </c>
      <c r="H21" s="32" t="str">
        <f t="shared" si="2"/>
        <v>example.com</v>
      </c>
    </row>
    <row r="22" spans="1:8">
      <c r="A22" s="30">
        <v>1021</v>
      </c>
      <c r="B22" s="30" t="s">
        <v>138</v>
      </c>
      <c r="C22" s="30" t="s">
        <v>137</v>
      </c>
      <c r="D22" s="30" t="s">
        <v>136</v>
      </c>
      <c r="E22" s="30" t="s">
        <v>37</v>
      </c>
      <c r="F22" s="30" t="str">
        <f t="shared" si="0"/>
        <v>thabo</v>
      </c>
      <c r="G22" s="30" t="str">
        <f t="shared" si="1"/>
        <v>botha</v>
      </c>
      <c r="H22" s="30" t="str">
        <f t="shared" si="2"/>
        <v>example.com</v>
      </c>
    </row>
    <row r="23" spans="1:8">
      <c r="A23" s="32">
        <v>1022</v>
      </c>
      <c r="B23" s="32" t="s">
        <v>135</v>
      </c>
      <c r="C23" s="32" t="s">
        <v>127</v>
      </c>
      <c r="D23" s="32" t="s">
        <v>134</v>
      </c>
      <c r="E23" s="32" t="s">
        <v>38</v>
      </c>
      <c r="F23" s="32" t="str">
        <f t="shared" si="0"/>
        <v>sipho</v>
      </c>
      <c r="G23" s="32" t="str">
        <f t="shared" si="1"/>
        <v>van wyk</v>
      </c>
      <c r="H23" s="32" t="str">
        <f t="shared" si="2"/>
        <v>example.com</v>
      </c>
    </row>
    <row r="24" spans="1:8">
      <c r="A24" s="30">
        <v>1023</v>
      </c>
      <c r="B24" s="30" t="s">
        <v>128</v>
      </c>
      <c r="C24" s="30" t="s">
        <v>133</v>
      </c>
      <c r="D24" s="30" t="s">
        <v>132</v>
      </c>
      <c r="E24" s="30" t="s">
        <v>38</v>
      </c>
      <c r="F24" s="30" t="str">
        <f t="shared" si="0"/>
        <v>lerato</v>
      </c>
      <c r="G24" s="30" t="str">
        <f t="shared" si="1"/>
        <v>naidoo</v>
      </c>
      <c r="H24" s="30" t="str">
        <f t="shared" si="2"/>
        <v>example.com</v>
      </c>
    </row>
    <row r="25" spans="1:8">
      <c r="A25" s="32">
        <v>1024</v>
      </c>
      <c r="B25" s="32" t="s">
        <v>131</v>
      </c>
      <c r="C25" s="32" t="s">
        <v>130</v>
      </c>
      <c r="D25" s="32" t="s">
        <v>129</v>
      </c>
      <c r="E25" s="32" t="s">
        <v>39</v>
      </c>
      <c r="F25" s="32" t="str">
        <f t="shared" si="0"/>
        <v>aisha</v>
      </c>
      <c r="G25" s="32" t="str">
        <f t="shared" si="1"/>
        <v>brown</v>
      </c>
      <c r="H25" s="32" t="str">
        <f t="shared" si="2"/>
        <v>example.com</v>
      </c>
    </row>
    <row r="26" spans="1:8">
      <c r="A26" s="30">
        <v>1025</v>
      </c>
      <c r="B26" s="30" t="s">
        <v>128</v>
      </c>
      <c r="C26" s="30" t="s">
        <v>127</v>
      </c>
      <c r="D26" s="30" t="s">
        <v>126</v>
      </c>
      <c r="E26" s="30" t="s">
        <v>39</v>
      </c>
      <c r="F26" s="30" t="str">
        <f t="shared" si="0"/>
        <v>lerato</v>
      </c>
      <c r="G26" s="30" t="str">
        <f t="shared" si="1"/>
        <v>van wyk</v>
      </c>
      <c r="H26" s="30" t="str">
        <f t="shared" si="2"/>
        <v>example.com</v>
      </c>
    </row>
    <row r="27" spans="1:8">
      <c r="A27" s="34">
        <v>1015</v>
      </c>
      <c r="B27" s="34" t="s">
        <v>123</v>
      </c>
      <c r="C27" s="34" t="s">
        <v>125</v>
      </c>
      <c r="D27" s="34" t="s">
        <v>124</v>
      </c>
      <c r="E27" s="34" t="s">
        <v>37</v>
      </c>
      <c r="F27" s="34" t="str">
        <f t="shared" si="0"/>
        <v>john</v>
      </c>
      <c r="G27" s="34" t="str">
        <f t="shared" si="1"/>
        <v>smith</v>
      </c>
      <c r="H27" s="34" t="str">
        <f t="shared" si="2"/>
        <v>example.com</v>
      </c>
    </row>
    <row r="28" spans="1:8">
      <c r="A28" s="3">
        <v>1014</v>
      </c>
      <c r="B28" s="5" t="s">
        <v>123</v>
      </c>
      <c r="C28" s="5" t="s">
        <v>120</v>
      </c>
      <c r="D28" s="5" t="s">
        <v>122</v>
      </c>
      <c r="E28" s="5" t="s">
        <v>39</v>
      </c>
      <c r="F28" s="5" t="str">
        <f t="shared" si="0"/>
        <v>john</v>
      </c>
      <c r="G28" s="5" t="str">
        <f t="shared" si="1"/>
        <v>mlambo</v>
      </c>
      <c r="H28" s="5" t="str">
        <f t="shared" si="2"/>
        <v>example.com</v>
      </c>
    </row>
    <row r="29" spans="1:8">
      <c r="A29" s="35">
        <v>1018</v>
      </c>
      <c r="B29" s="35" t="s">
        <v>121</v>
      </c>
      <c r="C29" s="35" t="s">
        <v>120</v>
      </c>
      <c r="D29" s="35" t="s">
        <v>119</v>
      </c>
      <c r="E29" s="35" t="s">
        <v>37</v>
      </c>
      <c r="F29" s="35" t="str">
        <f t="shared" si="0"/>
        <v>michael</v>
      </c>
      <c r="G29" s="35" t="str">
        <f t="shared" si="1"/>
        <v>mlambo</v>
      </c>
      <c r="H29" s="35" t="str">
        <f t="shared" si="2"/>
        <v>example.com</v>
      </c>
    </row>
  </sheetData>
  <conditionalFormatting sqref="A1:A29">
    <cfRule type="duplicateValues" dxfId="18"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10"/>
  <sheetViews>
    <sheetView workbookViewId="0">
      <selection activeCell="D17" sqref="D17"/>
    </sheetView>
  </sheetViews>
  <sheetFormatPr defaultRowHeight="15"/>
  <cols>
    <col min="1" max="1" width="18.28515625" style="1" bestFit="1" customWidth="1"/>
    <col min="2" max="2" width="10.5703125" bestFit="1" customWidth="1"/>
    <col min="3" max="3" width="7.85546875" bestFit="1" customWidth="1"/>
    <col min="4" max="4" width="14.5703125" bestFit="1" customWidth="1"/>
    <col min="5" max="5" width="11.42578125" bestFit="1" customWidth="1"/>
    <col min="6" max="6" width="14.28515625" bestFit="1" customWidth="1"/>
    <col min="7" max="7" width="9.7109375" bestFit="1" customWidth="1"/>
  </cols>
  <sheetData>
    <row r="1" spans="1:7" ht="15.75" thickBot="1">
      <c r="A1" s="26" t="s">
        <v>118</v>
      </c>
      <c r="B1" s="27" t="s">
        <v>117</v>
      </c>
      <c r="C1" s="27" t="s">
        <v>116</v>
      </c>
      <c r="D1" s="27" t="s">
        <v>115</v>
      </c>
      <c r="E1" s="27" t="s">
        <v>168</v>
      </c>
      <c r="F1" s="27" t="s">
        <v>169</v>
      </c>
      <c r="G1" s="28" t="s">
        <v>170</v>
      </c>
    </row>
    <row r="2" spans="1:7">
      <c r="A2" s="24">
        <v>45688</v>
      </c>
      <c r="B2" s="25">
        <v>25640</v>
      </c>
      <c r="C2" s="25">
        <v>60082</v>
      </c>
      <c r="D2" s="25">
        <v>21492</v>
      </c>
      <c r="E2" s="25">
        <f>SUMIFS(Sales_All!L:L, Sales_All!B:B, "&gt;=" &amp; EOMONTH(A2, -1)+1, Sales_All!B:B, "&lt;=" &amp; A2)</f>
        <v>1088.44</v>
      </c>
      <c r="F2" s="4">
        <f>SUM(B2+C2+D2)</f>
        <v>107214</v>
      </c>
      <c r="G2" s="25">
        <f>E2 - F2</f>
        <v>-106125.56</v>
      </c>
    </row>
    <row r="3" spans="1:7">
      <c r="A3" s="22">
        <v>45716</v>
      </c>
      <c r="B3" s="23">
        <v>43320</v>
      </c>
      <c r="C3" s="23">
        <v>70533</v>
      </c>
      <c r="D3" s="23">
        <v>27724</v>
      </c>
      <c r="E3" s="23">
        <f>SUMIFS(Sales_All!L:L, Sales_All!B:B, "&gt;=" &amp; EOMONTH(A3, -1)+1, Sales_All!B:B, "&lt;=" &amp; A3)</f>
        <v>9755.1000000000022</v>
      </c>
      <c r="F3" s="19">
        <f t="shared" ref="F3:F10" si="0">SUM(B3+C3+D3)</f>
        <v>141577</v>
      </c>
      <c r="G3" s="23">
        <f t="shared" ref="G3:G10" si="1">E3 - F3</f>
        <v>-131821.9</v>
      </c>
    </row>
    <row r="4" spans="1:7">
      <c r="A4" s="20">
        <v>45747</v>
      </c>
      <c r="B4" s="21">
        <v>34147</v>
      </c>
      <c r="C4" s="21">
        <v>63890</v>
      </c>
      <c r="D4" s="21">
        <v>17738</v>
      </c>
      <c r="E4" s="21">
        <f>SUMIFS(Sales_All!L:L, Sales_All!B:B, "&gt;=" &amp; EOMONTH(A4, -1)+1, Sales_All!B:B, "&lt;=" &amp; A4)</f>
        <v>-158.07999999999998</v>
      </c>
      <c r="F4" s="19">
        <f t="shared" si="0"/>
        <v>115775</v>
      </c>
      <c r="G4" s="21">
        <f t="shared" si="1"/>
        <v>-115933.08</v>
      </c>
    </row>
    <row r="5" spans="1:7">
      <c r="A5" s="22">
        <v>45777</v>
      </c>
      <c r="B5" s="23">
        <v>44423</v>
      </c>
      <c r="C5" s="23">
        <v>90674</v>
      </c>
      <c r="D5" s="23">
        <v>21152</v>
      </c>
      <c r="E5" s="23"/>
      <c r="F5" s="19">
        <f t="shared" si="0"/>
        <v>156249</v>
      </c>
      <c r="G5" s="23">
        <f t="shared" si="1"/>
        <v>-156249</v>
      </c>
    </row>
    <row r="6" spans="1:7">
      <c r="A6" s="20">
        <v>45808</v>
      </c>
      <c r="B6" s="21">
        <v>32119</v>
      </c>
      <c r="C6" s="21">
        <v>55646</v>
      </c>
      <c r="D6" s="21">
        <v>19723</v>
      </c>
      <c r="E6" s="21"/>
      <c r="F6" s="19">
        <f t="shared" si="0"/>
        <v>107488</v>
      </c>
      <c r="G6" s="21">
        <f t="shared" si="1"/>
        <v>-107488</v>
      </c>
    </row>
    <row r="7" spans="1:7">
      <c r="A7" s="22">
        <v>45838</v>
      </c>
      <c r="B7" s="23">
        <v>20079</v>
      </c>
      <c r="C7" s="23">
        <v>99954</v>
      </c>
      <c r="D7" s="23">
        <v>15769</v>
      </c>
      <c r="E7" s="23"/>
      <c r="F7" s="19">
        <f t="shared" si="0"/>
        <v>135802</v>
      </c>
      <c r="G7" s="23">
        <f t="shared" si="1"/>
        <v>-135802</v>
      </c>
    </row>
    <row r="8" spans="1:7">
      <c r="A8" s="20">
        <v>45869</v>
      </c>
      <c r="B8" s="21">
        <v>36304</v>
      </c>
      <c r="C8" s="21">
        <v>63297</v>
      </c>
      <c r="D8" s="21">
        <v>25453</v>
      </c>
      <c r="E8" s="21"/>
      <c r="F8" s="19">
        <f t="shared" si="0"/>
        <v>125054</v>
      </c>
      <c r="G8" s="21">
        <f t="shared" si="1"/>
        <v>-125054</v>
      </c>
    </row>
    <row r="9" spans="1:7">
      <c r="A9" s="22">
        <v>45900</v>
      </c>
      <c r="B9" s="23">
        <v>36734</v>
      </c>
      <c r="C9" s="23">
        <v>93760</v>
      </c>
      <c r="D9" s="23">
        <v>16230</v>
      </c>
      <c r="E9" s="23"/>
      <c r="F9" s="19">
        <f t="shared" si="0"/>
        <v>146724</v>
      </c>
      <c r="G9" s="23">
        <f t="shared" si="1"/>
        <v>-146724</v>
      </c>
    </row>
    <row r="10" spans="1:7">
      <c r="A10" s="20">
        <v>45930</v>
      </c>
      <c r="B10" s="21">
        <v>34260</v>
      </c>
      <c r="C10" s="21">
        <v>70760</v>
      </c>
      <c r="D10" s="21">
        <v>28818</v>
      </c>
      <c r="E10" s="21"/>
      <c r="F10" s="19">
        <f t="shared" si="0"/>
        <v>133838</v>
      </c>
      <c r="G10" s="21">
        <f t="shared" si="1"/>
        <v>-133838</v>
      </c>
    </row>
  </sheetData>
  <conditionalFormatting sqref="F1:F1048576">
    <cfRule type="colorScale" priority="1">
      <colorScale>
        <cfvo type="min" val="0"/>
        <cfvo type="percentile" val="50"/>
        <cfvo type="max" val="0"/>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91"/>
  <sheetViews>
    <sheetView zoomScale="101" workbookViewId="0">
      <selection sqref="A1:C91"/>
    </sheetView>
  </sheetViews>
  <sheetFormatPr defaultRowHeight="15"/>
  <cols>
    <col min="1" max="1" width="8" bestFit="1" customWidth="1"/>
    <col min="2" max="2" width="12.5703125" bestFit="1" customWidth="1"/>
    <col min="3" max="3" width="11" bestFit="1" customWidth="1"/>
  </cols>
  <sheetData>
    <row r="1" spans="1:3" ht="15.75" thickBot="1">
      <c r="A1" s="46" t="s">
        <v>0</v>
      </c>
      <c r="B1" s="47" t="s">
        <v>114</v>
      </c>
      <c r="C1" s="48" t="s">
        <v>113</v>
      </c>
    </row>
    <row r="2" spans="1:3">
      <c r="A2" s="49" t="s">
        <v>7</v>
      </c>
      <c r="B2" s="50">
        <v>5</v>
      </c>
      <c r="C2" s="49">
        <v>0.01</v>
      </c>
    </row>
    <row r="3" spans="1:3">
      <c r="A3" s="51" t="s">
        <v>8</v>
      </c>
      <c r="B3" s="51">
        <v>2</v>
      </c>
      <c r="C3" s="51">
        <v>0.03</v>
      </c>
    </row>
    <row r="4" spans="1:3">
      <c r="A4" s="52" t="s">
        <v>9</v>
      </c>
      <c r="B4" s="53">
        <v>6</v>
      </c>
      <c r="C4" s="52">
        <v>0.05</v>
      </c>
    </row>
    <row r="5" spans="1:3">
      <c r="A5" s="51" t="s">
        <v>10</v>
      </c>
      <c r="B5" s="51">
        <v>4</v>
      </c>
      <c r="C5" s="51">
        <v>7.0000000000000007E-2</v>
      </c>
    </row>
    <row r="6" spans="1:3">
      <c r="A6" s="52" t="s">
        <v>11</v>
      </c>
      <c r="B6" s="53">
        <v>5</v>
      </c>
      <c r="C6" s="52">
        <v>0.03</v>
      </c>
    </row>
    <row r="7" spans="1:3">
      <c r="A7" s="51" t="s">
        <v>12</v>
      </c>
      <c r="B7" s="51">
        <v>5</v>
      </c>
      <c r="C7" s="51">
        <v>0.06</v>
      </c>
    </row>
    <row r="8" spans="1:3">
      <c r="A8" s="52" t="s">
        <v>13</v>
      </c>
      <c r="B8" s="53">
        <v>4</v>
      </c>
      <c r="C8" s="52">
        <v>0.02</v>
      </c>
    </row>
    <row r="9" spans="1:3">
      <c r="A9" s="51" t="s">
        <v>14</v>
      </c>
      <c r="B9" s="51">
        <v>8</v>
      </c>
      <c r="C9" s="51">
        <v>7.0000000000000007E-2</v>
      </c>
    </row>
    <row r="10" spans="1:3">
      <c r="A10" s="52" t="s">
        <v>15</v>
      </c>
      <c r="B10" s="53">
        <v>2</v>
      </c>
      <c r="C10" s="52">
        <v>0.08</v>
      </c>
    </row>
    <row r="11" spans="1:3">
      <c r="A11" s="51" t="s">
        <v>16</v>
      </c>
      <c r="B11" s="51">
        <v>2</v>
      </c>
      <c r="C11" s="51">
        <v>0.08</v>
      </c>
    </row>
    <row r="12" spans="1:3">
      <c r="A12" s="52" t="s">
        <v>17</v>
      </c>
      <c r="B12" s="53">
        <v>8</v>
      </c>
      <c r="C12" s="52">
        <v>0.06</v>
      </c>
    </row>
    <row r="13" spans="1:3">
      <c r="A13" s="51" t="s">
        <v>18</v>
      </c>
      <c r="B13" s="51">
        <v>8</v>
      </c>
      <c r="C13" s="51">
        <v>0.03</v>
      </c>
    </row>
    <row r="14" spans="1:3">
      <c r="A14" s="52" t="s">
        <v>19</v>
      </c>
      <c r="B14" s="53">
        <v>1</v>
      </c>
      <c r="C14" s="52">
        <v>7.0000000000000007E-2</v>
      </c>
    </row>
    <row r="15" spans="1:3">
      <c r="A15" s="51" t="s">
        <v>20</v>
      </c>
      <c r="B15" s="51">
        <v>3</v>
      </c>
      <c r="C15" s="51">
        <v>0.09</v>
      </c>
    </row>
    <row r="16" spans="1:3">
      <c r="A16" s="52" t="s">
        <v>21</v>
      </c>
      <c r="B16" s="53">
        <v>4</v>
      </c>
      <c r="C16" s="52">
        <v>0.06</v>
      </c>
    </row>
    <row r="17" spans="1:3">
      <c r="A17" s="51" t="s">
        <v>22</v>
      </c>
      <c r="B17" s="51">
        <v>3</v>
      </c>
      <c r="C17" s="51">
        <v>0.1</v>
      </c>
    </row>
    <row r="18" spans="1:3">
      <c r="A18" s="52" t="s">
        <v>23</v>
      </c>
      <c r="B18" s="53">
        <v>6</v>
      </c>
      <c r="C18" s="52">
        <v>0.1</v>
      </c>
    </row>
    <row r="19" spans="1:3">
      <c r="A19" s="51" t="s">
        <v>24</v>
      </c>
      <c r="B19" s="51">
        <v>9</v>
      </c>
      <c r="C19" s="51">
        <v>0.02</v>
      </c>
    </row>
    <row r="20" spans="1:3">
      <c r="A20" s="52" t="s">
        <v>25</v>
      </c>
      <c r="B20" s="53">
        <v>2</v>
      </c>
      <c r="C20" s="52">
        <v>0</v>
      </c>
    </row>
    <row r="21" spans="1:3">
      <c r="A21" s="51" t="s">
        <v>26</v>
      </c>
      <c r="B21" s="51">
        <v>1</v>
      </c>
      <c r="C21" s="51">
        <v>0.02</v>
      </c>
    </row>
    <row r="22" spans="1:3">
      <c r="A22" s="52" t="s">
        <v>27</v>
      </c>
      <c r="B22" s="53">
        <v>8</v>
      </c>
      <c r="C22" s="52">
        <v>0.09</v>
      </c>
    </row>
    <row r="23" spans="1:3">
      <c r="A23" s="51" t="s">
        <v>28</v>
      </c>
      <c r="B23" s="51">
        <v>7</v>
      </c>
      <c r="C23" s="51">
        <v>0.1</v>
      </c>
    </row>
    <row r="24" spans="1:3">
      <c r="A24" s="52" t="s">
        <v>29</v>
      </c>
      <c r="B24" s="53">
        <v>3</v>
      </c>
      <c r="C24" s="52">
        <v>0.02</v>
      </c>
    </row>
    <row r="25" spans="1:3">
      <c r="A25" s="51" t="s">
        <v>30</v>
      </c>
      <c r="B25" s="51">
        <v>1</v>
      </c>
      <c r="C25" s="51">
        <v>0.04</v>
      </c>
    </row>
    <row r="26" spans="1:3">
      <c r="A26" s="52" t="s">
        <v>31</v>
      </c>
      <c r="B26" s="53">
        <v>9</v>
      </c>
      <c r="C26" s="52">
        <v>0.05</v>
      </c>
    </row>
    <row r="27" spans="1:3">
      <c r="A27" s="51" t="s">
        <v>32</v>
      </c>
      <c r="B27" s="51">
        <v>3</v>
      </c>
      <c r="C27" s="51">
        <v>0.03</v>
      </c>
    </row>
    <row r="28" spans="1:3">
      <c r="A28" s="52" t="s">
        <v>33</v>
      </c>
      <c r="B28" s="53">
        <v>6</v>
      </c>
      <c r="C28" s="52">
        <v>0.05</v>
      </c>
    </row>
    <row r="29" spans="1:3">
      <c r="A29" s="51" t="s">
        <v>34</v>
      </c>
      <c r="B29" s="51">
        <v>2</v>
      </c>
      <c r="C29" s="51">
        <v>7.0000000000000007E-2</v>
      </c>
    </row>
    <row r="30" spans="1:3">
      <c r="A30" s="52" t="s">
        <v>35</v>
      </c>
      <c r="B30" s="53">
        <v>9</v>
      </c>
      <c r="C30" s="52">
        <v>0.05</v>
      </c>
    </row>
    <row r="31" spans="1:3">
      <c r="A31" s="51" t="s">
        <v>36</v>
      </c>
      <c r="B31" s="51">
        <v>2</v>
      </c>
      <c r="C31" s="51">
        <v>7.0000000000000007E-2</v>
      </c>
    </row>
    <row r="32" spans="1:3">
      <c r="A32" s="52" t="s">
        <v>76</v>
      </c>
      <c r="B32" s="53">
        <v>6</v>
      </c>
      <c r="C32" s="52">
        <v>0.05</v>
      </c>
    </row>
    <row r="33" spans="1:3">
      <c r="A33" s="51" t="s">
        <v>75</v>
      </c>
      <c r="B33" s="51">
        <v>5</v>
      </c>
      <c r="C33" s="51">
        <v>0</v>
      </c>
    </row>
    <row r="34" spans="1:3">
      <c r="A34" s="52" t="s">
        <v>74</v>
      </c>
      <c r="B34" s="53">
        <v>3</v>
      </c>
      <c r="C34" s="52">
        <v>0.04</v>
      </c>
    </row>
    <row r="35" spans="1:3">
      <c r="A35" s="51" t="s">
        <v>73</v>
      </c>
      <c r="B35" s="51">
        <v>9</v>
      </c>
      <c r="C35" s="51">
        <v>0.05</v>
      </c>
    </row>
    <row r="36" spans="1:3">
      <c r="A36" s="52" t="s">
        <v>72</v>
      </c>
      <c r="B36" s="53">
        <v>4</v>
      </c>
      <c r="C36" s="52">
        <v>0.04</v>
      </c>
    </row>
    <row r="37" spans="1:3">
      <c r="A37" s="51" t="s">
        <v>71</v>
      </c>
      <c r="B37" s="51">
        <v>6</v>
      </c>
      <c r="C37" s="51">
        <v>0.04</v>
      </c>
    </row>
    <row r="38" spans="1:3">
      <c r="A38" s="52" t="s">
        <v>70</v>
      </c>
      <c r="B38" s="53">
        <v>1</v>
      </c>
      <c r="C38" s="52">
        <v>0.05</v>
      </c>
    </row>
    <row r="39" spans="1:3">
      <c r="A39" s="51" t="s">
        <v>69</v>
      </c>
      <c r="B39" s="51">
        <v>4</v>
      </c>
      <c r="C39" s="51">
        <v>0.04</v>
      </c>
    </row>
    <row r="40" spans="1:3">
      <c r="A40" s="52" t="s">
        <v>68</v>
      </c>
      <c r="B40" s="53">
        <v>7</v>
      </c>
      <c r="C40" s="52">
        <v>0.01</v>
      </c>
    </row>
    <row r="41" spans="1:3">
      <c r="A41" s="51" t="s">
        <v>67</v>
      </c>
      <c r="B41" s="51">
        <v>4</v>
      </c>
      <c r="C41" s="51">
        <v>0.03</v>
      </c>
    </row>
    <row r="42" spans="1:3">
      <c r="A42" s="52" t="s">
        <v>66</v>
      </c>
      <c r="B42" s="53">
        <v>5</v>
      </c>
      <c r="C42" s="52">
        <v>0.09</v>
      </c>
    </row>
    <row r="43" spans="1:3">
      <c r="A43" s="51" t="s">
        <v>65</v>
      </c>
      <c r="B43" s="51">
        <v>8</v>
      </c>
      <c r="C43" s="51">
        <v>0</v>
      </c>
    </row>
    <row r="44" spans="1:3">
      <c r="A44" s="52" t="s">
        <v>64</v>
      </c>
      <c r="B44" s="53">
        <v>7</v>
      </c>
      <c r="C44" s="52">
        <v>0</v>
      </c>
    </row>
    <row r="45" spans="1:3">
      <c r="A45" s="51" t="s">
        <v>63</v>
      </c>
      <c r="B45" s="51">
        <v>4</v>
      </c>
      <c r="C45" s="51">
        <v>0.03</v>
      </c>
    </row>
    <row r="46" spans="1:3">
      <c r="A46" s="52" t="s">
        <v>62</v>
      </c>
      <c r="B46" s="53">
        <v>1</v>
      </c>
      <c r="C46" s="52">
        <v>0.06</v>
      </c>
    </row>
    <row r="47" spans="1:3">
      <c r="A47" s="51" t="s">
        <v>61</v>
      </c>
      <c r="B47" s="51">
        <v>5</v>
      </c>
      <c r="C47" s="51">
        <v>0.1</v>
      </c>
    </row>
    <row r="48" spans="1:3">
      <c r="A48" s="52" t="s">
        <v>60</v>
      </c>
      <c r="B48" s="53">
        <v>5</v>
      </c>
      <c r="C48" s="52">
        <v>0.1</v>
      </c>
    </row>
    <row r="49" spans="1:3">
      <c r="A49" s="51" t="s">
        <v>59</v>
      </c>
      <c r="B49" s="51">
        <v>6</v>
      </c>
      <c r="C49" s="51">
        <v>0.1</v>
      </c>
    </row>
    <row r="50" spans="1:3">
      <c r="A50" s="52" t="s">
        <v>58</v>
      </c>
      <c r="B50" s="53">
        <v>8</v>
      </c>
      <c r="C50" s="52">
        <v>0.01</v>
      </c>
    </row>
    <row r="51" spans="1:3">
      <c r="A51" s="51" t="s">
        <v>57</v>
      </c>
      <c r="B51" s="51">
        <v>7</v>
      </c>
      <c r="C51" s="51">
        <v>7.0000000000000007E-2</v>
      </c>
    </row>
    <row r="52" spans="1:3">
      <c r="A52" s="52" t="s">
        <v>56</v>
      </c>
      <c r="B52" s="53">
        <v>7</v>
      </c>
      <c r="C52" s="52">
        <v>0.05</v>
      </c>
    </row>
    <row r="53" spans="1:3">
      <c r="A53" s="51" t="s">
        <v>55</v>
      </c>
      <c r="B53" s="51">
        <v>3</v>
      </c>
      <c r="C53" s="51">
        <v>0.02</v>
      </c>
    </row>
    <row r="54" spans="1:3">
      <c r="A54" s="52" t="s">
        <v>54</v>
      </c>
      <c r="B54" s="53">
        <v>5</v>
      </c>
      <c r="C54" s="52">
        <v>0.09</v>
      </c>
    </row>
    <row r="55" spans="1:3">
      <c r="A55" s="51" t="s">
        <v>53</v>
      </c>
      <c r="B55" s="51">
        <v>3</v>
      </c>
      <c r="C55" s="51">
        <v>0.02</v>
      </c>
    </row>
    <row r="56" spans="1:3">
      <c r="A56" s="52" t="s">
        <v>52</v>
      </c>
      <c r="B56" s="53">
        <v>8</v>
      </c>
      <c r="C56" s="52">
        <v>0.1</v>
      </c>
    </row>
    <row r="57" spans="1:3">
      <c r="A57" s="51" t="s">
        <v>51</v>
      </c>
      <c r="B57" s="51">
        <v>2</v>
      </c>
      <c r="C57" s="51">
        <v>0.06</v>
      </c>
    </row>
    <row r="58" spans="1:3">
      <c r="A58" s="52" t="s">
        <v>50</v>
      </c>
      <c r="B58" s="53">
        <v>7</v>
      </c>
      <c r="C58" s="52">
        <v>0.02</v>
      </c>
    </row>
    <row r="59" spans="1:3">
      <c r="A59" s="51" t="s">
        <v>49</v>
      </c>
      <c r="B59" s="51">
        <v>7</v>
      </c>
      <c r="C59" s="51">
        <v>0.04</v>
      </c>
    </row>
    <row r="60" spans="1:3">
      <c r="A60" s="52" t="s">
        <v>48</v>
      </c>
      <c r="B60" s="53">
        <v>1</v>
      </c>
      <c r="C60" s="52">
        <v>0.02</v>
      </c>
    </row>
    <row r="61" spans="1:3">
      <c r="A61" s="51" t="s">
        <v>47</v>
      </c>
      <c r="B61" s="51">
        <v>8</v>
      </c>
      <c r="C61" s="51">
        <v>0.04</v>
      </c>
    </row>
    <row r="62" spans="1:3">
      <c r="A62" s="52" t="s">
        <v>106</v>
      </c>
      <c r="B62" s="53">
        <v>3</v>
      </c>
      <c r="C62" s="52">
        <v>0.06</v>
      </c>
    </row>
    <row r="63" spans="1:3">
      <c r="A63" s="51" t="s">
        <v>105</v>
      </c>
      <c r="B63" s="51">
        <v>4</v>
      </c>
      <c r="C63" s="51">
        <v>7.0000000000000007E-2</v>
      </c>
    </row>
    <row r="64" spans="1:3">
      <c r="A64" s="52" t="s">
        <v>104</v>
      </c>
      <c r="B64" s="53">
        <v>6</v>
      </c>
      <c r="C64" s="52">
        <v>0.05</v>
      </c>
    </row>
    <row r="65" spans="1:3">
      <c r="A65" s="51" t="s">
        <v>103</v>
      </c>
      <c r="B65" s="51">
        <v>5</v>
      </c>
      <c r="C65" s="51">
        <v>0.03</v>
      </c>
    </row>
    <row r="66" spans="1:3">
      <c r="A66" s="52" t="s">
        <v>102</v>
      </c>
      <c r="B66" s="53">
        <v>3</v>
      </c>
      <c r="C66" s="52">
        <v>0.06</v>
      </c>
    </row>
    <row r="67" spans="1:3">
      <c r="A67" s="51" t="s">
        <v>101</v>
      </c>
      <c r="B67" s="51">
        <v>5</v>
      </c>
      <c r="C67" s="51">
        <v>0.04</v>
      </c>
    </row>
    <row r="68" spans="1:3">
      <c r="A68" s="52" t="s">
        <v>100</v>
      </c>
      <c r="B68" s="53">
        <v>4</v>
      </c>
      <c r="C68" s="52">
        <v>0.04</v>
      </c>
    </row>
    <row r="69" spans="1:3">
      <c r="A69" s="51" t="s">
        <v>99</v>
      </c>
      <c r="B69" s="51">
        <v>8</v>
      </c>
      <c r="C69" s="51">
        <v>0.03</v>
      </c>
    </row>
    <row r="70" spans="1:3">
      <c r="A70" s="52" t="s">
        <v>98</v>
      </c>
      <c r="B70" s="53">
        <v>1</v>
      </c>
      <c r="C70" s="52">
        <v>0.02</v>
      </c>
    </row>
    <row r="71" spans="1:3">
      <c r="A71" s="51" t="s">
        <v>97</v>
      </c>
      <c r="B71" s="51">
        <v>1</v>
      </c>
      <c r="C71" s="51">
        <v>0.05</v>
      </c>
    </row>
    <row r="72" spans="1:3">
      <c r="A72" s="52" t="s">
        <v>96</v>
      </c>
      <c r="B72" s="53">
        <v>6</v>
      </c>
      <c r="C72" s="52">
        <v>0.05</v>
      </c>
    </row>
    <row r="73" spans="1:3">
      <c r="A73" s="51" t="s">
        <v>95</v>
      </c>
      <c r="B73" s="51">
        <v>7</v>
      </c>
      <c r="C73" s="51">
        <v>0.09</v>
      </c>
    </row>
    <row r="74" spans="1:3">
      <c r="A74" s="52" t="s">
        <v>94</v>
      </c>
      <c r="B74" s="53">
        <v>7</v>
      </c>
      <c r="C74" s="52">
        <v>7.0000000000000007E-2</v>
      </c>
    </row>
    <row r="75" spans="1:3">
      <c r="A75" s="51" t="s">
        <v>93</v>
      </c>
      <c r="B75" s="51">
        <v>6</v>
      </c>
      <c r="C75" s="51">
        <v>0.08</v>
      </c>
    </row>
    <row r="76" spans="1:3">
      <c r="A76" s="52" t="s">
        <v>92</v>
      </c>
      <c r="B76" s="53">
        <v>7</v>
      </c>
      <c r="C76" s="52">
        <v>0.04</v>
      </c>
    </row>
    <row r="77" spans="1:3">
      <c r="A77" s="51" t="s">
        <v>91</v>
      </c>
      <c r="B77" s="51">
        <v>5</v>
      </c>
      <c r="C77" s="51">
        <v>0.03</v>
      </c>
    </row>
    <row r="78" spans="1:3">
      <c r="A78" s="52" t="s">
        <v>90</v>
      </c>
      <c r="B78" s="53">
        <v>8</v>
      </c>
      <c r="C78" s="52">
        <v>7.0000000000000007E-2</v>
      </c>
    </row>
    <row r="79" spans="1:3">
      <c r="A79" s="51" t="s">
        <v>89</v>
      </c>
      <c r="B79" s="51">
        <v>4</v>
      </c>
      <c r="C79" s="51">
        <v>7.0000000000000007E-2</v>
      </c>
    </row>
    <row r="80" spans="1:3">
      <c r="A80" s="52" t="s">
        <v>88</v>
      </c>
      <c r="B80" s="53">
        <v>3</v>
      </c>
      <c r="C80" s="52">
        <v>0.01</v>
      </c>
    </row>
    <row r="81" spans="1:3">
      <c r="A81" s="51" t="s">
        <v>87</v>
      </c>
      <c r="B81" s="51">
        <v>4</v>
      </c>
      <c r="C81" s="51">
        <v>0.01</v>
      </c>
    </row>
    <row r="82" spans="1:3">
      <c r="A82" s="52" t="s">
        <v>86</v>
      </c>
      <c r="B82" s="53">
        <v>9</v>
      </c>
      <c r="C82" s="52">
        <v>0.05</v>
      </c>
    </row>
    <row r="83" spans="1:3">
      <c r="A83" s="51" t="s">
        <v>85</v>
      </c>
      <c r="B83" s="51">
        <v>8</v>
      </c>
      <c r="C83" s="51">
        <v>0.02</v>
      </c>
    </row>
    <row r="84" spans="1:3">
      <c r="A84" s="52" t="s">
        <v>84</v>
      </c>
      <c r="B84" s="53">
        <v>2</v>
      </c>
      <c r="C84" s="52">
        <v>0.1</v>
      </c>
    </row>
    <row r="85" spans="1:3">
      <c r="A85" s="51" t="s">
        <v>83</v>
      </c>
      <c r="B85" s="51">
        <v>6</v>
      </c>
      <c r="C85" s="51">
        <v>0.08</v>
      </c>
    </row>
    <row r="86" spans="1:3">
      <c r="A86" s="52" t="s">
        <v>82</v>
      </c>
      <c r="B86" s="53">
        <v>4</v>
      </c>
      <c r="C86" s="52">
        <v>0.05</v>
      </c>
    </row>
    <row r="87" spans="1:3">
      <c r="A87" s="51" t="s">
        <v>81</v>
      </c>
      <c r="B87" s="51">
        <v>1</v>
      </c>
      <c r="C87" s="51">
        <v>0.02</v>
      </c>
    </row>
    <row r="88" spans="1:3">
      <c r="A88" s="52" t="s">
        <v>80</v>
      </c>
      <c r="B88" s="53">
        <v>7</v>
      </c>
      <c r="C88" s="52">
        <v>0.01</v>
      </c>
    </row>
    <row r="89" spans="1:3">
      <c r="A89" s="51" t="s">
        <v>79</v>
      </c>
      <c r="B89" s="51">
        <v>3</v>
      </c>
      <c r="C89" s="51">
        <v>0.1</v>
      </c>
    </row>
    <row r="90" spans="1:3">
      <c r="A90" s="52" t="s">
        <v>78</v>
      </c>
      <c r="B90" s="53">
        <v>4</v>
      </c>
      <c r="C90" s="52">
        <v>7.0000000000000007E-2</v>
      </c>
    </row>
    <row r="91" spans="1:3">
      <c r="A91" s="51" t="s">
        <v>77</v>
      </c>
      <c r="B91" s="51">
        <v>5</v>
      </c>
      <c r="C91" s="51">
        <v>0.09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26"/>
  <sheetViews>
    <sheetView zoomScale="83" workbookViewId="0">
      <selection activeCell="K8" sqref="K8"/>
    </sheetView>
  </sheetViews>
  <sheetFormatPr defaultRowHeight="15"/>
  <cols>
    <col min="1" max="1" width="14" bestFit="1" customWidth="1"/>
    <col min="2" max="2" width="15.5703125" bestFit="1" customWidth="1"/>
    <col min="3" max="3" width="12.5703125" bestFit="1" customWidth="1"/>
    <col min="5" max="5" width="12.5703125" bestFit="1" customWidth="1"/>
    <col min="6" max="6" width="13.85546875" bestFit="1" customWidth="1"/>
    <col min="7" max="7" width="23" bestFit="1" customWidth="1"/>
    <col min="8" max="8" width="21" bestFit="1" customWidth="1"/>
    <col min="9" max="9" width="14.85546875" bestFit="1" customWidth="1"/>
    <col min="10" max="10" width="15.5703125" bestFit="1" customWidth="1"/>
  </cols>
  <sheetData>
    <row r="1" spans="1:9" ht="32.25" thickBot="1">
      <c r="A1" s="54" t="s">
        <v>196</v>
      </c>
      <c r="B1" s="55"/>
      <c r="C1" s="55"/>
      <c r="D1" s="55"/>
      <c r="E1" s="55"/>
      <c r="F1" s="55"/>
      <c r="G1" s="55"/>
      <c r="H1" s="55"/>
      <c r="I1" s="56"/>
    </row>
    <row r="3" spans="1:9">
      <c r="A3" s="6" t="s">
        <v>183</v>
      </c>
      <c r="B3" t="s">
        <v>185</v>
      </c>
      <c r="C3" t="s">
        <v>186</v>
      </c>
      <c r="F3" s="6" t="s">
        <v>183</v>
      </c>
      <c r="G3" t="s">
        <v>186</v>
      </c>
      <c r="H3" t="s">
        <v>190</v>
      </c>
    </row>
    <row r="4" spans="1:9">
      <c r="A4" s="7" t="s">
        <v>39</v>
      </c>
      <c r="B4">
        <v>104142</v>
      </c>
      <c r="C4">
        <v>-187454</v>
      </c>
      <c r="F4" s="7" t="s">
        <v>109</v>
      </c>
      <c r="G4">
        <v>-140123</v>
      </c>
      <c r="H4" s="8">
        <v>-123.56525573192239</v>
      </c>
    </row>
    <row r="5" spans="1:9">
      <c r="A5" s="7" t="s">
        <v>40</v>
      </c>
      <c r="B5">
        <v>87013</v>
      </c>
      <c r="C5">
        <v>-20092</v>
      </c>
      <c r="F5" s="7" t="s">
        <v>108</v>
      </c>
      <c r="G5">
        <v>-597481</v>
      </c>
      <c r="H5" s="8">
        <v>-25.890757030809898</v>
      </c>
    </row>
    <row r="6" spans="1:9">
      <c r="A6" s="7" t="s">
        <v>37</v>
      </c>
      <c r="B6" s="9">
        <v>124308</v>
      </c>
      <c r="C6">
        <v>-529381</v>
      </c>
      <c r="F6" s="7" t="s">
        <v>107</v>
      </c>
      <c r="G6">
        <v>11046</v>
      </c>
      <c r="H6" s="8">
        <v>2.6485969341879051E-2</v>
      </c>
    </row>
    <row r="7" spans="1:9">
      <c r="A7" s="7" t="s">
        <v>38</v>
      </c>
      <c r="B7">
        <v>125799</v>
      </c>
      <c r="C7">
        <v>10369</v>
      </c>
      <c r="F7" s="7" t="s">
        <v>184</v>
      </c>
      <c r="G7">
        <v>-726558</v>
      </c>
      <c r="H7" s="8">
        <v>-1.6465455896950112</v>
      </c>
    </row>
    <row r="8" spans="1:9">
      <c r="A8" s="7" t="s">
        <v>184</v>
      </c>
      <c r="B8" s="9">
        <v>441262</v>
      </c>
      <c r="C8">
        <v>-726558</v>
      </c>
    </row>
    <row r="9" spans="1:9">
      <c r="F9" s="6" t="s">
        <v>183</v>
      </c>
      <c r="G9" t="s">
        <v>188</v>
      </c>
      <c r="H9" t="s">
        <v>185</v>
      </c>
      <c r="I9" t="s">
        <v>186</v>
      </c>
    </row>
    <row r="10" spans="1:9">
      <c r="F10" s="7" t="s">
        <v>187</v>
      </c>
      <c r="G10">
        <v>90</v>
      </c>
      <c r="H10" s="9">
        <v>441262</v>
      </c>
      <c r="I10">
        <v>-726558</v>
      </c>
    </row>
    <row r="11" spans="1:9">
      <c r="F11" s="7" t="s">
        <v>184</v>
      </c>
      <c r="G11">
        <v>90</v>
      </c>
      <c r="H11" s="9">
        <v>441262</v>
      </c>
      <c r="I11">
        <v>-726558</v>
      </c>
    </row>
    <row r="13" spans="1:9">
      <c r="F13" s="57" t="s">
        <v>183</v>
      </c>
      <c r="G13" s="57" t="s">
        <v>189</v>
      </c>
      <c r="H13" s="57" t="s">
        <v>191</v>
      </c>
    </row>
    <row r="14" spans="1:9">
      <c r="F14" s="58" t="s">
        <v>39</v>
      </c>
      <c r="G14" s="59">
        <v>4.3809523809523814</v>
      </c>
      <c r="H14" s="59">
        <v>5.5238095238095253E-2</v>
      </c>
    </row>
    <row r="15" spans="1:9">
      <c r="F15" s="58" t="s">
        <v>40</v>
      </c>
      <c r="G15" s="59">
        <v>4.5909090909090908</v>
      </c>
      <c r="H15" s="59">
        <v>4.6363636363636364E-2</v>
      </c>
    </row>
    <row r="16" spans="1:9">
      <c r="F16" s="58" t="s">
        <v>37</v>
      </c>
      <c r="G16" s="59">
        <v>5.4347826086956523</v>
      </c>
      <c r="H16" s="59">
        <v>5.3478260869565239E-2</v>
      </c>
    </row>
    <row r="17" spans="6:8">
      <c r="F17" s="58" t="s">
        <v>38</v>
      </c>
      <c r="G17" s="59">
        <v>5.083333333333333</v>
      </c>
      <c r="H17" s="59">
        <v>4.7500000000000007E-2</v>
      </c>
    </row>
    <row r="18" spans="6:8">
      <c r="F18" s="58" t="s">
        <v>184</v>
      </c>
      <c r="G18" s="59">
        <v>4.8888888888888893</v>
      </c>
      <c r="H18" s="59">
        <v>5.0555555555555527E-2</v>
      </c>
    </row>
    <row r="20" spans="6:8">
      <c r="F20" s="6" t="s">
        <v>183</v>
      </c>
      <c r="G20" t="s">
        <v>185</v>
      </c>
    </row>
    <row r="21" spans="6:8">
      <c r="F21" s="7" t="s">
        <v>42</v>
      </c>
      <c r="G21" s="9">
        <v>92783</v>
      </c>
    </row>
    <row r="22" spans="6:8">
      <c r="F22" s="7" t="s">
        <v>45</v>
      </c>
      <c r="G22" s="9">
        <v>100036</v>
      </c>
    </row>
    <row r="23" spans="6:8">
      <c r="F23" s="7" t="s">
        <v>43</v>
      </c>
      <c r="G23" s="9">
        <v>100690</v>
      </c>
    </row>
    <row r="24" spans="6:8">
      <c r="F24" s="7" t="s">
        <v>46</v>
      </c>
      <c r="G24" s="9">
        <v>49991</v>
      </c>
    </row>
    <row r="25" spans="6:8">
      <c r="F25" s="7" t="s">
        <v>41</v>
      </c>
      <c r="G25" s="9">
        <v>60019</v>
      </c>
    </row>
    <row r="26" spans="6:8">
      <c r="F26" s="7" t="s">
        <v>184</v>
      </c>
      <c r="G26" s="9">
        <v>403519</v>
      </c>
    </row>
  </sheetData>
  <mergeCells count="1">
    <mergeCell ref="A1:I1"/>
  </mergeCells>
  <conditionalFormatting sqref="I8:I9 G20 G3 I12:I20 I39:I1048576">
    <cfRule type="dataBar" priority="1">
      <dataBar>
        <cfvo type="min" val="0"/>
        <cfvo type="max" val="0"/>
        <color rgb="FF63C384"/>
      </dataBar>
      <extLst>
        <ext xmlns:x14="http://schemas.microsoft.com/office/spreadsheetml/2009/9/main" uri="{B025F937-C7B1-47D3-B67F-A62EFF666E3E}">
          <x14:id>{4C3A9E8B-5BA1-439D-AE81-261D3C33A5FF}</x14:id>
        </ext>
      </extLs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x14:cfRule type="dataBar" id="{4C3A9E8B-5BA1-439D-AE81-261D3C33A5FF}">
            <x14:dataBar minLength="0" maxLength="100" gradient="0">
              <x14:cfvo type="autoMin"/>
              <x14:cfvo type="autoMax"/>
              <x14:negativeFillColor rgb="FFFF0000"/>
              <x14:axisColor rgb="FF000000"/>
            </x14:dataBar>
          </x14:cfRule>
          <xm:sqref>I8:I9 G20 G3 I12:I20 I39:I1048576</xm:sqref>
        </x14:conditionalFormatting>
      </x14:conditionalFormattings>
    </ext>
    <ext xmlns:x14="http://schemas.microsoft.com/office/spreadsheetml/2009/9/main" uri="{A8765BA9-456A-4dab-B4F3-ACF838C121DE}">
      <x14:slicerList>
        <x14:slicer r:id=""/>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Dashboard</vt:lpstr>
      <vt:lpstr>Sales_All</vt:lpstr>
      <vt:lpstr>Products</vt:lpstr>
      <vt:lpstr>Customers</vt:lpstr>
      <vt:lpstr>Finance</vt:lpstr>
      <vt:lpstr>Operations</vt:lpstr>
      <vt:lpstr>PivotTables</vt:lpstr>
      <vt:lpstr>Accessories</vt:lpstr>
      <vt:lpstr>Customers!Criteria</vt:lpstr>
      <vt:lpstr>Electronics</vt:lpstr>
      <vt:lpstr>Customers!Extract</vt:lpstr>
      <vt:lpstr>Office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Mecer</cp:lastModifiedBy>
  <dcterms:created xsi:type="dcterms:W3CDTF">2025-09-09T13:20:14Z</dcterms:created>
  <dcterms:modified xsi:type="dcterms:W3CDTF">2026-08-18T18:34:55Z</dcterms:modified>
</cp:coreProperties>
</file>